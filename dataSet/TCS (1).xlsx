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ustomProperty1.bin" ContentType="application/vnd.openxmlformats-officedocument.spreadsheetml.customProperty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eere\Downloads\"/>
    </mc:Choice>
  </mc:AlternateContent>
  <xr:revisionPtr revIDLastSave="0" documentId="13_ncr:1_{420858C7-3917-43A2-B158-312C18401C53}" xr6:coauthVersionLast="47" xr6:coauthVersionMax="47" xr10:uidLastSave="{00000000-0000-0000-0000-000000000000}"/>
  <bookViews>
    <workbookView xWindow="-108" yWindow="-108" windowWidth="23256" windowHeight="12456" activeTab="1" xr2:uid="{D4886810-D9CC-4231-AA87-2302A306BB27}"/>
  </bookViews>
  <sheets>
    <sheet name="HistoricalFS" sheetId="3" r:id="rId1"/>
    <sheet name="ratio" sheetId="11" r:id="rId2"/>
    <sheet name="scenario analysis" sheetId="12" r:id="rId3"/>
    <sheet name="Financials " sheetId="10" r:id="rId4"/>
    <sheet name="Ratio Analysis" sheetId="6" r:id="rId5"/>
    <sheet name="Forecasting" sheetId="8" r:id="rId6"/>
    <sheet name="Data&gt;" sheetId="4" r:id="rId7"/>
    <sheet name="Data Sheet" sheetId="2" r:id="rId8"/>
    <sheet name="Peer Analysis" sheetId="7" r:id="rId9"/>
    <sheet name="Charts" sheetId="17" r:id="rId10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"01/26/2023 09:21:20"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2" l="1"/>
  <c r="F5" i="12"/>
  <c r="D30" i="11"/>
  <c r="E30" i="11"/>
  <c r="F30" i="11"/>
  <c r="G30" i="11"/>
  <c r="H30" i="11"/>
  <c r="I30" i="11"/>
  <c r="J30" i="11"/>
  <c r="K30" i="11"/>
  <c r="L30" i="11"/>
  <c r="C30" i="11"/>
  <c r="D29" i="11"/>
  <c r="E29" i="11"/>
  <c r="F29" i="11"/>
  <c r="G29" i="11"/>
  <c r="H29" i="11"/>
  <c r="I29" i="11"/>
  <c r="J29" i="11"/>
  <c r="K29" i="11"/>
  <c r="L29" i="11"/>
  <c r="C29" i="11"/>
  <c r="L28" i="11"/>
  <c r="K28" i="11"/>
  <c r="J28" i="11"/>
  <c r="I28" i="11"/>
  <c r="H28" i="11"/>
  <c r="G28" i="11"/>
  <c r="F28" i="11"/>
  <c r="E28" i="11"/>
  <c r="D28" i="11"/>
  <c r="C28" i="11"/>
  <c r="L25" i="11" l="1"/>
  <c r="K25" i="11"/>
  <c r="J25" i="11"/>
  <c r="I25" i="11"/>
  <c r="H25" i="11"/>
  <c r="G25" i="11"/>
  <c r="F25" i="11"/>
  <c r="E25" i="11"/>
  <c r="D25" i="11"/>
  <c r="C25" i="11"/>
  <c r="D23" i="11"/>
  <c r="E23" i="11"/>
  <c r="F23" i="11"/>
  <c r="G23" i="11"/>
  <c r="H23" i="11"/>
  <c r="I23" i="11"/>
  <c r="J23" i="11"/>
  <c r="K23" i="11"/>
  <c r="L23" i="11"/>
  <c r="D24" i="11"/>
  <c r="E24" i="11"/>
  <c r="F24" i="11"/>
  <c r="G24" i="11"/>
  <c r="H24" i="11"/>
  <c r="I24" i="11"/>
  <c r="J24" i="11"/>
  <c r="K24" i="11"/>
  <c r="L24" i="11"/>
  <c r="C23" i="11"/>
  <c r="C24" i="11"/>
  <c r="D22" i="11"/>
  <c r="E22" i="11"/>
  <c r="F22" i="11"/>
  <c r="G22" i="11"/>
  <c r="H22" i="11"/>
  <c r="I22" i="11"/>
  <c r="J22" i="11"/>
  <c r="K22" i="11"/>
  <c r="L22" i="11"/>
  <c r="C22" i="11"/>
  <c r="D21" i="11"/>
  <c r="E21" i="11"/>
  <c r="F21" i="11"/>
  <c r="G21" i="11"/>
  <c r="H21" i="11"/>
  <c r="I21" i="11"/>
  <c r="J21" i="11"/>
  <c r="K21" i="11"/>
  <c r="L21" i="11"/>
  <c r="C21" i="11"/>
  <c r="C6" i="11"/>
  <c r="B2" i="6"/>
  <c r="O2" i="10" l="1"/>
  <c r="J2" i="10"/>
  <c r="P5" i="10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O5" i="10"/>
  <c r="O6" i="10" s="1"/>
  <c r="O7" i="10" s="1"/>
  <c r="O8" i="10" s="1"/>
  <c r="O9" i="10" s="1"/>
  <c r="O10" i="10" s="1"/>
  <c r="O11" i="10" s="1"/>
  <c r="O12" i="10" s="1"/>
  <c r="O13" i="10" s="1"/>
  <c r="O14" i="10" s="1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J5" i="10"/>
  <c r="J6" i="10" s="1"/>
  <c r="J7" i="10" s="1"/>
  <c r="J8" i="10" s="1"/>
  <c r="J9" i="10" s="1"/>
  <c r="J10" i="10" s="1"/>
  <c r="J11" i="10" s="1"/>
  <c r="J12" i="10" s="1"/>
  <c r="J13" i="10" s="1"/>
  <c r="J14" i="10" s="1"/>
  <c r="B2" i="10"/>
  <c r="D4" i="10" a="1"/>
  <c r="D5" i="10" s="1"/>
  <c r="C6" i="10"/>
  <c r="C7" i="10"/>
  <c r="C8" i="10"/>
  <c r="C9" i="10"/>
  <c r="C10" i="10" s="1"/>
  <c r="C11" i="10" s="1"/>
  <c r="C12" i="10" s="1"/>
  <c r="C13" i="10" s="1"/>
  <c r="C14" i="10" s="1"/>
  <c r="C15" i="10" s="1"/>
  <c r="C16" i="10" s="1"/>
  <c r="C17" i="10" s="1"/>
  <c r="C18" i="10" s="1"/>
  <c r="C5" i="10"/>
  <c r="B6" i="10"/>
  <c r="B7" i="10" s="1"/>
  <c r="B8" i="10" s="1"/>
  <c r="B9" i="10" s="1"/>
  <c r="B10" i="10" s="1"/>
  <c r="B11" i="10" s="1"/>
  <c r="B12" i="10" s="1"/>
  <c r="B13" i="10" s="1"/>
  <c r="B14" i="10" s="1"/>
  <c r="B5" i="10"/>
  <c r="L2" i="8"/>
  <c r="L5" i="8"/>
  <c r="L6" i="8" s="1"/>
  <c r="L7" i="8" s="1"/>
  <c r="L8" i="8" s="1"/>
  <c r="L9" i="8" s="1"/>
  <c r="L10" i="8" s="1"/>
  <c r="L11" i="8" s="1"/>
  <c r="L12" i="8" s="1"/>
  <c r="L13" i="8" s="1"/>
  <c r="L14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G2" i="8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B2" i="8"/>
  <c r="G5" i="8"/>
  <c r="G6" i="8" s="1"/>
  <c r="G7" i="8" s="1"/>
  <c r="G8" i="8" s="1"/>
  <c r="G9" i="8" s="1"/>
  <c r="G10" i="8" s="1"/>
  <c r="G11" i="8" s="1"/>
  <c r="G12" i="8" s="1"/>
  <c r="G13" i="8" s="1"/>
  <c r="G14" i="8" s="1"/>
  <c r="D4" i="8" a="1"/>
  <c r="D9" i="8" s="1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5" i="10" l="1"/>
  <c r="O15" i="10"/>
  <c r="J15" i="10"/>
  <c r="D4" i="10"/>
  <c r="E5" i="10" s="1"/>
  <c r="D13" i="10"/>
  <c r="D12" i="10"/>
  <c r="D11" i="10"/>
  <c r="D10" i="10"/>
  <c r="D9" i="10"/>
  <c r="D8" i="10"/>
  <c r="D7" i="10"/>
  <c r="D6" i="10"/>
  <c r="E6" i="10" s="1"/>
  <c r="D8" i="8"/>
  <c r="E9" i="8" s="1"/>
  <c r="D4" i="8"/>
  <c r="D11" i="8"/>
  <c r="D7" i="8"/>
  <c r="D6" i="8"/>
  <c r="D5" i="8"/>
  <c r="D13" i="8"/>
  <c r="D12" i="8"/>
  <c r="E12" i="8" s="1"/>
  <c r="L15" i="8"/>
  <c r="G15" i="8"/>
  <c r="D10" i="8"/>
  <c r="E10" i="8" s="1"/>
  <c r="E7" i="10" l="1"/>
  <c r="E8" i="10"/>
  <c r="E9" i="10"/>
  <c r="E10" i="10"/>
  <c r="E11" i="10"/>
  <c r="E12" i="10"/>
  <c r="E13" i="10"/>
  <c r="D18" i="8"/>
  <c r="E5" i="8"/>
  <c r="D14" i="10"/>
  <c r="E14" i="10" s="1"/>
  <c r="D15" i="10"/>
  <c r="E15" i="10" s="1"/>
  <c r="B16" i="10"/>
  <c r="O16" i="10"/>
  <c r="J16" i="10"/>
  <c r="E6" i="8"/>
  <c r="E7" i="8"/>
  <c r="E11" i="8"/>
  <c r="D16" i="8"/>
  <c r="D15" i="8"/>
  <c r="D14" i="8"/>
  <c r="E14" i="8" s="1"/>
  <c r="D17" i="8"/>
  <c r="E18" i="8"/>
  <c r="E8" i="8"/>
  <c r="E13" i="8"/>
  <c r="L16" i="8"/>
  <c r="G16" i="8"/>
  <c r="E16" i="8" l="1"/>
  <c r="D16" i="10"/>
  <c r="E16" i="10" s="1"/>
  <c r="B17" i="10"/>
  <c r="O17" i="10"/>
  <c r="J17" i="10"/>
  <c r="E17" i="8"/>
  <c r="E15" i="8"/>
  <c r="L17" i="8"/>
  <c r="G17" i="8"/>
  <c r="B2" i="7"/>
  <c r="B18" i="10" l="1"/>
  <c r="D18" i="10" s="1"/>
  <c r="D17" i="10"/>
  <c r="E17" i="10" s="1"/>
  <c r="O18" i="10"/>
  <c r="J18" i="10"/>
  <c r="L18" i="8"/>
  <c r="G18" i="8"/>
  <c r="L3" i="6"/>
  <c r="K3" i="6"/>
  <c r="J3" i="6"/>
  <c r="I3" i="6"/>
  <c r="H3" i="6"/>
  <c r="G3" i="6"/>
  <c r="F3" i="6"/>
  <c r="E3" i="6"/>
  <c r="D3" i="6"/>
  <c r="C3" i="6"/>
  <c r="E18" i="10" l="1"/>
  <c r="L74" i="3"/>
  <c r="K74" i="3"/>
  <c r="J74" i="3"/>
  <c r="I74" i="3"/>
  <c r="H74" i="3"/>
  <c r="G74" i="3"/>
  <c r="F74" i="3"/>
  <c r="E74" i="3"/>
  <c r="D74" i="3"/>
  <c r="C74" i="3"/>
  <c r="L72" i="3"/>
  <c r="K72" i="3"/>
  <c r="J72" i="3"/>
  <c r="I72" i="3"/>
  <c r="H72" i="3"/>
  <c r="G72" i="3"/>
  <c r="F72" i="3"/>
  <c r="E72" i="3"/>
  <c r="D72" i="3"/>
  <c r="C72" i="3"/>
  <c r="L70" i="3"/>
  <c r="K70" i="3"/>
  <c r="J70" i="3"/>
  <c r="I70" i="3"/>
  <c r="H70" i="3"/>
  <c r="G70" i="3"/>
  <c r="F70" i="3"/>
  <c r="E70" i="3"/>
  <c r="D70" i="3"/>
  <c r="C70" i="3"/>
  <c r="L56" i="3"/>
  <c r="K56" i="3"/>
  <c r="J56" i="3"/>
  <c r="I56" i="3"/>
  <c r="H56" i="3"/>
  <c r="G56" i="3"/>
  <c r="F56" i="3"/>
  <c r="E56" i="3"/>
  <c r="D56" i="3"/>
  <c r="C56" i="3"/>
  <c r="L61" i="3"/>
  <c r="K61" i="3"/>
  <c r="J61" i="3"/>
  <c r="I61" i="3"/>
  <c r="H61" i="3"/>
  <c r="G61" i="3"/>
  <c r="F61" i="3"/>
  <c r="E61" i="3"/>
  <c r="D61" i="3"/>
  <c r="L60" i="3"/>
  <c r="K60" i="3"/>
  <c r="J60" i="3"/>
  <c r="I60" i="3"/>
  <c r="H60" i="3"/>
  <c r="G60" i="3"/>
  <c r="F60" i="3"/>
  <c r="E60" i="3"/>
  <c r="D60" i="3"/>
  <c r="L59" i="3"/>
  <c r="K59" i="3"/>
  <c r="J59" i="3"/>
  <c r="I59" i="3"/>
  <c r="H59" i="3"/>
  <c r="G59" i="3"/>
  <c r="F59" i="3"/>
  <c r="E59" i="3"/>
  <c r="D59" i="3"/>
  <c r="C61" i="3"/>
  <c r="C60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1" i="3"/>
  <c r="K51" i="3"/>
  <c r="J51" i="3"/>
  <c r="I51" i="3"/>
  <c r="H51" i="3"/>
  <c r="G51" i="3"/>
  <c r="F51" i="3"/>
  <c r="E51" i="3"/>
  <c r="D51" i="3"/>
  <c r="L50" i="3"/>
  <c r="K50" i="3"/>
  <c r="J50" i="3"/>
  <c r="I50" i="3"/>
  <c r="H50" i="3"/>
  <c r="G50" i="3"/>
  <c r="F50" i="3"/>
  <c r="E50" i="3"/>
  <c r="D50" i="3"/>
  <c r="L49" i="3"/>
  <c r="K49" i="3"/>
  <c r="J49" i="3"/>
  <c r="I49" i="3"/>
  <c r="H49" i="3"/>
  <c r="G49" i="3"/>
  <c r="F49" i="3"/>
  <c r="E49" i="3"/>
  <c r="D49" i="3"/>
  <c r="L48" i="3"/>
  <c r="K48" i="3"/>
  <c r="J48" i="3"/>
  <c r="I48" i="3"/>
  <c r="H48" i="3"/>
  <c r="G48" i="3"/>
  <c r="F48" i="3"/>
  <c r="E48" i="3"/>
  <c r="D48" i="3"/>
  <c r="L47" i="3"/>
  <c r="K47" i="3"/>
  <c r="J47" i="3"/>
  <c r="I47" i="3"/>
  <c r="H47" i="3"/>
  <c r="G47" i="3"/>
  <c r="F47" i="3"/>
  <c r="E47" i="3"/>
  <c r="D47" i="3"/>
  <c r="C51" i="3"/>
  <c r="C50" i="3"/>
  <c r="C49" i="3"/>
  <c r="C48" i="3"/>
  <c r="C47" i="3"/>
  <c r="L36" i="3"/>
  <c r="M36" i="3" s="1"/>
  <c r="M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0" i="3"/>
  <c r="L30" i="3"/>
  <c r="K30" i="3"/>
  <c r="J30" i="3"/>
  <c r="I30" i="3"/>
  <c r="H30" i="3"/>
  <c r="G30" i="3"/>
  <c r="F30" i="3"/>
  <c r="E30" i="3"/>
  <c r="D30" i="3"/>
  <c r="C30" i="3"/>
  <c r="L24" i="3"/>
  <c r="K24" i="3"/>
  <c r="J24" i="3"/>
  <c r="I24" i="3"/>
  <c r="H24" i="3"/>
  <c r="G24" i="3"/>
  <c r="F24" i="3"/>
  <c r="E24" i="3"/>
  <c r="D24" i="3"/>
  <c r="C24" i="3"/>
  <c r="M24" i="3"/>
  <c r="M21" i="3"/>
  <c r="L21" i="3"/>
  <c r="K21" i="3"/>
  <c r="J21" i="3"/>
  <c r="I21" i="3"/>
  <c r="H21" i="3"/>
  <c r="G21" i="3"/>
  <c r="F21" i="3"/>
  <c r="E21" i="3"/>
  <c r="D21" i="3"/>
  <c r="C21" i="3"/>
  <c r="L15" i="3"/>
  <c r="K15" i="3"/>
  <c r="J15" i="3"/>
  <c r="I15" i="3"/>
  <c r="H15" i="3"/>
  <c r="G15" i="3"/>
  <c r="F15" i="3"/>
  <c r="E15" i="3"/>
  <c r="D15" i="3"/>
  <c r="C15" i="3"/>
  <c r="M9" i="3"/>
  <c r="L9" i="3"/>
  <c r="K9" i="3"/>
  <c r="J9" i="3"/>
  <c r="I9" i="3"/>
  <c r="H9" i="3"/>
  <c r="G9" i="3"/>
  <c r="F9" i="3"/>
  <c r="E9" i="3"/>
  <c r="D9" i="3"/>
  <c r="C9" i="3"/>
  <c r="M6" i="3"/>
  <c r="M16" i="3" s="1"/>
  <c r="L6" i="3"/>
  <c r="K6" i="3"/>
  <c r="J6" i="3"/>
  <c r="I6" i="3"/>
  <c r="H6" i="3"/>
  <c r="G6" i="3"/>
  <c r="F6" i="3"/>
  <c r="E6" i="3"/>
  <c r="D6" i="3"/>
  <c r="C6" i="3"/>
  <c r="L3" i="3"/>
  <c r="D3" i="3"/>
  <c r="E3" i="3"/>
  <c r="F3" i="3"/>
  <c r="G3" i="3"/>
  <c r="H3" i="3"/>
  <c r="I3" i="3"/>
  <c r="J3" i="3"/>
  <c r="K3" i="3"/>
  <c r="C3" i="3"/>
  <c r="B2" i="3"/>
  <c r="K73" i="2"/>
  <c r="J73" i="2"/>
  <c r="I73" i="2"/>
  <c r="H73" i="2"/>
  <c r="K51" i="2"/>
  <c r="J51" i="2"/>
  <c r="I51" i="2"/>
  <c r="H51" i="2"/>
  <c r="M18" i="3" s="1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I4" i="8" l="1" a="1"/>
  <c r="H62" i="3"/>
  <c r="I57" i="3"/>
  <c r="G62" i="3"/>
  <c r="F62" i="3"/>
  <c r="E57" i="3"/>
  <c r="C62" i="3"/>
  <c r="I62" i="3"/>
  <c r="D62" i="3"/>
  <c r="J57" i="3"/>
  <c r="H57" i="3"/>
  <c r="J62" i="3"/>
  <c r="C57" i="3"/>
  <c r="K57" i="3"/>
  <c r="K62" i="3"/>
  <c r="F76" i="3"/>
  <c r="F57" i="3"/>
  <c r="D57" i="3"/>
  <c r="L57" i="3"/>
  <c r="E62" i="3"/>
  <c r="I76" i="3"/>
  <c r="L62" i="3"/>
  <c r="G57" i="3"/>
  <c r="J76" i="3"/>
  <c r="L41" i="3"/>
  <c r="F10" i="3"/>
  <c r="K12" i="3"/>
  <c r="K13" i="3" s="1"/>
  <c r="D10" i="3"/>
  <c r="M25" i="3"/>
  <c r="C12" i="3"/>
  <c r="C18" i="3" s="1"/>
  <c r="C17" i="11" s="1"/>
  <c r="J12" i="3"/>
  <c r="J13" i="3" s="1"/>
  <c r="C16" i="3"/>
  <c r="C22" i="3"/>
  <c r="K22" i="3"/>
  <c r="M27" i="3"/>
  <c r="K7" i="3"/>
  <c r="K6" i="11" s="1"/>
  <c r="G16" i="3"/>
  <c r="E22" i="3"/>
  <c r="M22" i="3"/>
  <c r="F25" i="3"/>
  <c r="G7" i="3"/>
  <c r="G6" i="11" s="1"/>
  <c r="L10" i="3"/>
  <c r="H16" i="3"/>
  <c r="G25" i="3"/>
  <c r="I7" i="3"/>
  <c r="I6" i="11" s="1"/>
  <c r="G12" i="3"/>
  <c r="G22" i="3"/>
  <c r="H22" i="3"/>
  <c r="E16" i="3"/>
  <c r="F22" i="3"/>
  <c r="F16" i="3"/>
  <c r="L25" i="3"/>
  <c r="I10" i="3"/>
  <c r="J16" i="3"/>
  <c r="E10" i="3"/>
  <c r="I16" i="3"/>
  <c r="I22" i="3"/>
  <c r="F12" i="3"/>
  <c r="H10" i="3"/>
  <c r="M19" i="3"/>
  <c r="J10" i="3"/>
  <c r="K16" i="3"/>
  <c r="J22" i="3"/>
  <c r="J7" i="3"/>
  <c r="J6" i="11" s="1"/>
  <c r="J25" i="3"/>
  <c r="D25" i="3"/>
  <c r="H25" i="3"/>
  <c r="D16" i="3"/>
  <c r="L16" i="3"/>
  <c r="C25" i="3"/>
  <c r="K25" i="3"/>
  <c r="L12" i="3"/>
  <c r="E12" i="3"/>
  <c r="D22" i="3"/>
  <c r="L22" i="3"/>
  <c r="D12" i="3"/>
  <c r="E25" i="3"/>
  <c r="D7" i="3"/>
  <c r="D6" i="11" s="1"/>
  <c r="L7" i="3"/>
  <c r="L6" i="11" s="1"/>
  <c r="G10" i="3"/>
  <c r="M10" i="3"/>
  <c r="E7" i="3"/>
  <c r="E6" i="11" s="1"/>
  <c r="M7" i="3"/>
  <c r="F7" i="3"/>
  <c r="F6" i="11" s="1"/>
  <c r="H12" i="3"/>
  <c r="I25" i="3"/>
  <c r="H7" i="3"/>
  <c r="H6" i="11" s="1"/>
  <c r="C10" i="3"/>
  <c r="K10" i="3"/>
  <c r="I12" i="3"/>
  <c r="M12" i="3"/>
  <c r="M13" i="3" s="1"/>
  <c r="I64" i="3" l="1"/>
  <c r="I66" i="3" s="1"/>
  <c r="J12" i="11"/>
  <c r="J7" i="11"/>
  <c r="C19" i="3"/>
  <c r="C13" i="11" s="1"/>
  <c r="K12" i="11"/>
  <c r="K7" i="11"/>
  <c r="K64" i="3"/>
  <c r="K66" i="3" s="1"/>
  <c r="I6" i="8"/>
  <c r="I5" i="8"/>
  <c r="I13" i="8"/>
  <c r="I12" i="8"/>
  <c r="I4" i="8"/>
  <c r="I10" i="8"/>
  <c r="I11" i="8"/>
  <c r="I9" i="8"/>
  <c r="I8" i="8"/>
  <c r="I7" i="8"/>
  <c r="G76" i="3"/>
  <c r="J64" i="3"/>
  <c r="J66" i="3" s="1"/>
  <c r="H64" i="3"/>
  <c r="H66" i="3" s="1"/>
  <c r="E76" i="3"/>
  <c r="C64" i="3"/>
  <c r="C66" i="3" s="1"/>
  <c r="K76" i="3"/>
  <c r="H76" i="3"/>
  <c r="C76" i="3"/>
  <c r="L76" i="3"/>
  <c r="G64" i="3"/>
  <c r="G66" i="3" s="1"/>
  <c r="F64" i="3"/>
  <c r="F66" i="3" s="1"/>
  <c r="D76" i="3"/>
  <c r="L64" i="3"/>
  <c r="L66" i="3" s="1"/>
  <c r="D64" i="3"/>
  <c r="D66" i="3" s="1"/>
  <c r="E64" i="3"/>
  <c r="E66" i="3" s="1"/>
  <c r="J18" i="3"/>
  <c r="J17" i="11" s="1"/>
  <c r="C13" i="3"/>
  <c r="C27" i="3"/>
  <c r="C28" i="3" s="1"/>
  <c r="C14" i="11" s="1"/>
  <c r="K18" i="3"/>
  <c r="K17" i="11" s="1"/>
  <c r="E18" i="3"/>
  <c r="E17" i="11" s="1"/>
  <c r="E13" i="3"/>
  <c r="G18" i="3"/>
  <c r="G17" i="11" s="1"/>
  <c r="G13" i="3"/>
  <c r="F18" i="3"/>
  <c r="F13" i="3"/>
  <c r="L18" i="3"/>
  <c r="L17" i="11" s="1"/>
  <c r="L13" i="3"/>
  <c r="H18" i="3"/>
  <c r="H17" i="11" s="1"/>
  <c r="H13" i="3"/>
  <c r="M31" i="3"/>
  <c r="M33" i="3"/>
  <c r="M28" i="3"/>
  <c r="I18" i="3"/>
  <c r="I13" i="3"/>
  <c r="D18" i="3"/>
  <c r="D13" i="3"/>
  <c r="H8" i="11" l="1"/>
  <c r="I17" i="11"/>
  <c r="J12" i="8"/>
  <c r="J6" i="8"/>
  <c r="E8" i="11"/>
  <c r="F17" i="11"/>
  <c r="J7" i="8"/>
  <c r="C8" i="11"/>
  <c r="D17" i="11"/>
  <c r="F12" i="11"/>
  <c r="F7" i="11"/>
  <c r="D12" i="11"/>
  <c r="D7" i="11"/>
  <c r="K19" i="3"/>
  <c r="K13" i="11" s="1"/>
  <c r="J8" i="11"/>
  <c r="H7" i="11"/>
  <c r="H12" i="11"/>
  <c r="C7" i="11"/>
  <c r="C12" i="11"/>
  <c r="G8" i="11"/>
  <c r="J19" i="3"/>
  <c r="J13" i="11" s="1"/>
  <c r="I8" i="11"/>
  <c r="L12" i="11"/>
  <c r="L7" i="11"/>
  <c r="I12" i="11"/>
  <c r="I7" i="11"/>
  <c r="F8" i="11"/>
  <c r="L4" i="10" a="1"/>
  <c r="K8" i="11"/>
  <c r="L8" i="11"/>
  <c r="G7" i="11"/>
  <c r="G12" i="11"/>
  <c r="E7" i="11"/>
  <c r="E12" i="11"/>
  <c r="D8" i="11"/>
  <c r="J5" i="8"/>
  <c r="J11" i="8"/>
  <c r="J10" i="8"/>
  <c r="J13" i="8"/>
  <c r="J8" i="8"/>
  <c r="J9" i="8"/>
  <c r="I14" i="8"/>
  <c r="J14" i="8" s="1"/>
  <c r="I15" i="8"/>
  <c r="J15" i="8" s="1"/>
  <c r="I16" i="8"/>
  <c r="J16" i="8" s="1"/>
  <c r="I17" i="8"/>
  <c r="J17" i="8" s="1"/>
  <c r="I18" i="8"/>
  <c r="J18" i="8" s="1"/>
  <c r="J27" i="3"/>
  <c r="C33" i="3"/>
  <c r="C31" i="3"/>
  <c r="K27" i="3"/>
  <c r="G19" i="3"/>
  <c r="G13" i="11" s="1"/>
  <c r="G27" i="3"/>
  <c r="F19" i="3"/>
  <c r="F13" i="11" s="1"/>
  <c r="F27" i="3"/>
  <c r="I19" i="3"/>
  <c r="I13" i="11" s="1"/>
  <c r="I27" i="3"/>
  <c r="D19" i="3"/>
  <c r="D13" i="11" s="1"/>
  <c r="D27" i="3"/>
  <c r="C9" i="11" s="1"/>
  <c r="H19" i="3"/>
  <c r="H13" i="11" s="1"/>
  <c r="H27" i="3"/>
  <c r="E19" i="3"/>
  <c r="E13" i="11" s="1"/>
  <c r="E27" i="3"/>
  <c r="L19" i="3"/>
  <c r="L13" i="11" s="1"/>
  <c r="L27" i="3"/>
  <c r="M34" i="3"/>
  <c r="M38" i="3"/>
  <c r="C34" i="3" l="1"/>
  <c r="C15" i="11" s="1"/>
  <c r="C18" i="11"/>
  <c r="H9" i="11"/>
  <c r="F9" i="11"/>
  <c r="J28" i="3"/>
  <c r="J14" i="11" s="1"/>
  <c r="I9" i="11"/>
  <c r="K9" i="11"/>
  <c r="L9" i="11"/>
  <c r="D9" i="11"/>
  <c r="K28" i="3"/>
  <c r="K14" i="11" s="1"/>
  <c r="J9" i="11"/>
  <c r="G9" i="11"/>
  <c r="L12" i="10"/>
  <c r="L11" i="10"/>
  <c r="L10" i="10"/>
  <c r="L9" i="10"/>
  <c r="L8" i="10"/>
  <c r="L7" i="10"/>
  <c r="L6" i="10"/>
  <c r="L13" i="10"/>
  <c r="L5" i="10"/>
  <c r="L4" i="10"/>
  <c r="E9" i="11"/>
  <c r="C38" i="3"/>
  <c r="J33" i="3"/>
  <c r="J18" i="11" s="1"/>
  <c r="J31" i="3"/>
  <c r="K33" i="3"/>
  <c r="K18" i="11" s="1"/>
  <c r="K31" i="3"/>
  <c r="M42" i="3"/>
  <c r="M44" i="3" s="1"/>
  <c r="L31" i="3"/>
  <c r="L33" i="3"/>
  <c r="L18" i="11" s="1"/>
  <c r="L28" i="3"/>
  <c r="L14" i="11" s="1"/>
  <c r="E31" i="3"/>
  <c r="E33" i="3"/>
  <c r="E28" i="3"/>
  <c r="E14" i="11" s="1"/>
  <c r="D31" i="3"/>
  <c r="D33" i="3"/>
  <c r="D28" i="3"/>
  <c r="D14" i="11" s="1"/>
  <c r="F28" i="3"/>
  <c r="F14" i="11" s="1"/>
  <c r="F33" i="3"/>
  <c r="F18" i="11" s="1"/>
  <c r="F31" i="3"/>
  <c r="H28" i="3"/>
  <c r="H14" i="11" s="1"/>
  <c r="H31" i="3"/>
  <c r="H33" i="3"/>
  <c r="H18" i="11" s="1"/>
  <c r="G33" i="3"/>
  <c r="G28" i="3"/>
  <c r="G14" i="11" s="1"/>
  <c r="G31" i="3"/>
  <c r="I33" i="3"/>
  <c r="I18" i="11" s="1"/>
  <c r="I28" i="3"/>
  <c r="I14" i="11" s="1"/>
  <c r="I31" i="3"/>
  <c r="M12" i="10" l="1"/>
  <c r="K38" i="3"/>
  <c r="K42" i="3" s="1"/>
  <c r="K44" i="3" s="1"/>
  <c r="D10" i="11"/>
  <c r="E18" i="11"/>
  <c r="F10" i="11"/>
  <c r="G18" i="11"/>
  <c r="M7" i="10"/>
  <c r="M8" i="10"/>
  <c r="C10" i="11"/>
  <c r="D18" i="11"/>
  <c r="K34" i="3"/>
  <c r="K15" i="11" s="1"/>
  <c r="J10" i="11"/>
  <c r="M9" i="10"/>
  <c r="H10" i="11"/>
  <c r="J38" i="3"/>
  <c r="J44" i="3" s="1"/>
  <c r="I10" i="11"/>
  <c r="M10" i="10"/>
  <c r="M11" i="10"/>
  <c r="G10" i="11"/>
  <c r="K10" i="11"/>
  <c r="L10" i="11"/>
  <c r="M5" i="10"/>
  <c r="L15" i="10"/>
  <c r="L16" i="10"/>
  <c r="M16" i="10" s="1"/>
  <c r="L14" i="10"/>
  <c r="M14" i="10" s="1"/>
  <c r="L17" i="10"/>
  <c r="M17" i="10" s="1"/>
  <c r="L18" i="10"/>
  <c r="M18" i="10" s="1"/>
  <c r="M13" i="10"/>
  <c r="E10" i="11"/>
  <c r="M6" i="10"/>
  <c r="C42" i="3"/>
  <c r="C44" i="3" s="1"/>
  <c r="J34" i="3"/>
  <c r="J15" i="11" s="1"/>
  <c r="F34" i="3"/>
  <c r="F15" i="11" s="1"/>
  <c r="F38" i="3"/>
  <c r="I38" i="3"/>
  <c r="I34" i="3"/>
  <c r="I15" i="11" s="1"/>
  <c r="D38" i="3"/>
  <c r="D34" i="3"/>
  <c r="D15" i="11" s="1"/>
  <c r="H34" i="3"/>
  <c r="H15" i="11" s="1"/>
  <c r="H38" i="3"/>
  <c r="E34" i="3"/>
  <c r="E15" i="11" s="1"/>
  <c r="E38" i="3"/>
  <c r="G34" i="3"/>
  <c r="G15" i="11" s="1"/>
  <c r="G38" i="3"/>
  <c r="L38" i="3"/>
  <c r="L34" i="3"/>
  <c r="L15" i="11" s="1"/>
  <c r="J39" i="3" l="1"/>
  <c r="Q4" i="10" a="1"/>
  <c r="Q4" i="10" s="1"/>
  <c r="K39" i="3"/>
  <c r="J42" i="3"/>
  <c r="N4" i="8" a="1"/>
  <c r="N9" i="8" s="1"/>
  <c r="M15" i="10"/>
  <c r="E39" i="3"/>
  <c r="E42" i="3"/>
  <c r="E44" i="3" s="1"/>
  <c r="H39" i="3"/>
  <c r="H42" i="3"/>
  <c r="H44" i="3" s="1"/>
  <c r="G39" i="3"/>
  <c r="G42" i="3"/>
  <c r="G44" i="3" s="1"/>
  <c r="I39" i="3"/>
  <c r="I42" i="3"/>
  <c r="I44" i="3" s="1"/>
  <c r="F39" i="3"/>
  <c r="F42" i="3"/>
  <c r="F44" i="3" s="1"/>
  <c r="L39" i="3"/>
  <c r="L44" i="3"/>
  <c r="L42" i="3"/>
  <c r="M39" i="3"/>
  <c r="D39" i="3"/>
  <c r="D42" i="3"/>
  <c r="D44" i="3" s="1"/>
  <c r="N10" i="8" l="1"/>
  <c r="O10" i="8" s="1"/>
  <c r="Q7" i="10"/>
  <c r="N11" i="8"/>
  <c r="Q9" i="10"/>
  <c r="N12" i="8"/>
  <c r="Q12" i="10"/>
  <c r="R12" i="10" s="1"/>
  <c r="Q5" i="10"/>
  <c r="R5" i="10" s="1"/>
  <c r="N7" i="8"/>
  <c r="O7" i="8" s="1"/>
  <c r="Q6" i="10"/>
  <c r="R6" i="10" s="1"/>
  <c r="Q8" i="10"/>
  <c r="N4" i="8"/>
  <c r="Q10" i="10"/>
  <c r="R11" i="10" s="1"/>
  <c r="N8" i="8"/>
  <c r="O8" i="8" s="1"/>
  <c r="Q13" i="10"/>
  <c r="R13" i="10" s="1"/>
  <c r="N5" i="8"/>
  <c r="Q11" i="10"/>
  <c r="N13" i="8"/>
  <c r="O13" i="8" s="1"/>
  <c r="N6" i="8"/>
  <c r="N15" i="8" l="1"/>
  <c r="Q14" i="10"/>
  <c r="R14" i="10" s="1"/>
  <c r="N18" i="8"/>
  <c r="R8" i="10"/>
  <c r="O6" i="8"/>
  <c r="O12" i="8"/>
  <c r="R9" i="10"/>
  <c r="R10" i="10"/>
  <c r="Q16" i="10"/>
  <c r="N14" i="8"/>
  <c r="O14" i="8" s="1"/>
  <c r="Q18" i="10"/>
  <c r="O5" i="8"/>
  <c r="N17" i="8"/>
  <c r="N16" i="8"/>
  <c r="O16" i="8" s="1"/>
  <c r="Q15" i="10"/>
  <c r="R15" i="10" s="1"/>
  <c r="O11" i="8"/>
  <c r="Q17" i="10"/>
  <c r="O9" i="8"/>
  <c r="R7" i="10"/>
  <c r="O18" i="8" l="1"/>
  <c r="R16" i="10"/>
  <c r="R17" i="10"/>
  <c r="O17" i="8"/>
  <c r="R18" i="10"/>
  <c r="O15" i="8"/>
</calcChain>
</file>

<file path=xl/sharedStrings.xml><?xml version="1.0" encoding="utf-8"?>
<sst xmlns="http://schemas.openxmlformats.org/spreadsheetml/2006/main" count="224" uniqueCount="145">
  <si>
    <t>COMPANY NAME</t>
  </si>
  <si>
    <t>TATA CONSULTANCY SERVICES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</si>
  <si>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</si>
  <si>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</si>
  <si>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</si>
  <si>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</si>
  <si>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</si>
  <si>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</si>
  <si>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</si>
  <si>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</si>
  <si>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</si>
  <si>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</si>
  <si>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</si>
  <si>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</si>
  <si>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</si>
  <si>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</si>
  <si>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</si>
  <si>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</si>
  <si>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</si>
  <si>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</si>
  <si>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</si>
  <si>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</si>
  <si>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</si>
  <si>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</si>
  <si>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</si>
  <si>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</si>
  <si>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</si>
  <si>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</si>
  <si>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</si>
  <si>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</si>
  <si>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</si>
  <si>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</si>
  <si>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</si>
  <si>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</si>
  <si>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</si>
  <si>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</si>
  <si>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</si>
  <si>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</si>
  <si>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</si>
  <si>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</si>
  <si>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</si>
  <si>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</si>
  <si>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</si>
  <si>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</si>
  <si>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</si>
  <si>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</si>
  <si>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</si>
  <si>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</si>
  <si>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</si>
  <si>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</si>
  <si>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</si>
  <si>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</si>
  <si>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</si>
  <si>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</si>
  <si>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</si>
  <si>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</si>
  <si>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</si>
  <si>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</si>
  <si>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</si>
  <si>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</si>
  <si>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</si>
  <si>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</si>
  <si>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</si>
  <si>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</si>
  <si>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</si>
  <si>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</si>
  <si>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</si>
  <si>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</si>
  <si>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</si>
  <si>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</si>
  <si>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</si>
  <si>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</si>
  <si>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</si>
  <si>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</si>
  <si>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</si>
  <si>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</si>
  <si>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</si>
  <si>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</si>
  <si>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</si>
  <si>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</si>
  <si>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</si>
  <si>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</si>
  <si>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</si>
  <si>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</si>
  <si>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</si>
  <si>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</si>
  <si>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</si>
  <si>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</si>
  <si>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</si>
  <si>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</si>
  <si>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</si>
  <si>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</si>
  <si>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Gross Margin</t>
  </si>
  <si>
    <t>EBITDA Margin</t>
  </si>
  <si>
    <t>OperatingIncome%Sales</t>
  </si>
  <si>
    <t>SalesExpenses%Sales</t>
  </si>
  <si>
    <t>GrossMargin</t>
  </si>
  <si>
    <t>SalesGrowth</t>
  </si>
  <si>
    <t>EBIT Growth</t>
  </si>
  <si>
    <t>Self Sustained Growth Rate</t>
  </si>
  <si>
    <t>Retained Earnings%</t>
  </si>
  <si>
    <t>Dividend Growth</t>
  </si>
  <si>
    <t>Net Profit Growth</t>
  </si>
  <si>
    <t>EBITDA Growth</t>
  </si>
  <si>
    <t>Operating Margin</t>
  </si>
  <si>
    <t>EBIT Margin</t>
  </si>
  <si>
    <t>EBT Margin</t>
  </si>
  <si>
    <t>Net Profit Margin</t>
  </si>
  <si>
    <t>Interest Coverage Ratio</t>
  </si>
  <si>
    <t>Debtor Turnover Ratio</t>
  </si>
  <si>
    <t>Inventory Turnover</t>
  </si>
  <si>
    <t>Fixed Asset Turnover</t>
  </si>
  <si>
    <t>Debtor Days</t>
  </si>
  <si>
    <t>Creditor Turnover Ratio</t>
  </si>
  <si>
    <t>Payable Days</t>
  </si>
  <si>
    <t>Capital Turnover Ratio</t>
  </si>
  <si>
    <t>Inventory Days</t>
  </si>
  <si>
    <t>Cash Conversion Cycle</t>
  </si>
  <si>
    <t>Return on Equity%</t>
  </si>
  <si>
    <t>Return on Capital Employed</t>
  </si>
  <si>
    <t>Ratios</t>
  </si>
  <si>
    <t>CFO/Sales</t>
  </si>
  <si>
    <t>CFO/Total Assets</t>
  </si>
  <si>
    <t>CFO/Total Debt</t>
  </si>
  <si>
    <t>Year Weight</t>
  </si>
  <si>
    <t>Year</t>
  </si>
  <si>
    <t>Year weight</t>
  </si>
  <si>
    <t>.</t>
  </si>
  <si>
    <t xml:space="preserve">                                                           Ratio Analysis of - TATA CONSULTANCY SERVICES LTD</t>
  </si>
  <si>
    <t>Curent Ratio</t>
  </si>
  <si>
    <t>Quick ratio</t>
  </si>
  <si>
    <t xml:space="preserve">Debt-to Equity </t>
  </si>
  <si>
    <t>Scenario</t>
  </si>
  <si>
    <t>Revenue</t>
  </si>
  <si>
    <t xml:space="preserve">                   Scenario Analysis for </t>
  </si>
  <si>
    <t>Base</t>
  </si>
  <si>
    <t>Best</t>
  </si>
  <si>
    <t>Worst</t>
  </si>
  <si>
    <t>Final Scenario Table</t>
  </si>
  <si>
    <t>Revenue Growth</t>
  </si>
  <si>
    <t>COGS  Change</t>
  </si>
  <si>
    <t>Profit Margin</t>
  </si>
  <si>
    <t xml:space="preserve">                         Senario Asumption</t>
  </si>
  <si>
    <t xml:space="preserve">Revenue Comparison </t>
  </si>
  <si>
    <t>Sales Comapriosn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</si>
</sst>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yyyy&quot;A&quot;"/>
    <numFmt numFmtId="169" formatCode="yyyy&quot;E&quot;"/>
    <numFmt numFmtId="170" formatCode="#,##0.0"/>
    <numFmt numFmtId="171" formatCode="0&quot;A&quot;"/>
    <numFmt numFmtId="172" formatCode="0&quot;E&quot;"/>
    <numFmt numFmtId="173" formatCode="0.0\x"/>
    <numFmt numFmtId="178" formatCode="0&quot;D&quot;"/>
  </numFmts>
  <fonts count="1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sz val="11"/>
      <color theme="0"/>
      <name val="calibri"/>
      <family val="2"/>
    </font>
    <font>
      <sz val="11"/>
      <color theme="4" tint="-0.24997711111789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77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0" fontId="2" fillId="4" borderId="0" xfId="0" applyFont="1" applyFill="1"/>
    <xf numFmtId="17" fontId="2" fillId="4" borderId="0" xfId="0" applyNumberFormat="1" applyFont="1" applyFill="1"/>
    <xf numFmtId="17" fontId="2" fillId="4" borderId="0" xfId="0" applyNumberFormat="1" applyFont="1" applyFill="1" applyAlignment="1">
      <alignment horizontal="right"/>
    </xf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17" fontId="2" fillId="0" borderId="0" xfId="0" applyNumberFormat="1" applyFont="1" applyAlignment="1">
      <alignment horizontal="right"/>
    </xf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0" fontId="0" fillId="0" borderId="0" xfId="0" applyAlignment="1">
      <alignment horizontal="left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/>
    <xf numFmtId="0" fontId="0" fillId="7" borderId="0" xfId="0" applyFill="1" applyAlignment="1">
      <alignment horizontal="left"/>
    </xf>
    <xf numFmtId="169" fontId="0" fillId="7" borderId="0" xfId="0" applyNumberFormat="1" applyFill="1" applyAlignment="1">
      <alignment horizontal="right"/>
    </xf>
    <xf numFmtId="170" fontId="0" fillId="7" borderId="0" xfId="0" applyNumberFormat="1" applyFill="1"/>
    <xf numFmtId="10" fontId="0" fillId="7" borderId="0" xfId="1" applyNumberFormat="1" applyFont="1" applyFill="1"/>
    <xf numFmtId="0" fontId="0" fillId="0" borderId="1" xfId="0" applyBorder="1"/>
    <xf numFmtId="0" fontId="15" fillId="4" borderId="0" xfId="0" applyFont="1" applyFill="1" applyAlignment="1">
      <alignment horizontal="center"/>
    </xf>
    <xf numFmtId="171" fontId="0" fillId="0" borderId="0" xfId="0" applyNumberFormat="1"/>
    <xf numFmtId="0" fontId="15" fillId="8" borderId="0" xfId="0" applyFont="1" applyFill="1" applyAlignment="1">
      <alignment horizontal="center"/>
    </xf>
    <xf numFmtId="0" fontId="15" fillId="4" borderId="0" xfId="0" applyFont="1" applyFill="1" applyAlignment="1">
      <alignment horizontal="left"/>
    </xf>
    <xf numFmtId="3" fontId="0" fillId="0" borderId="0" xfId="0" applyNumberFormat="1"/>
    <xf numFmtId="9" fontId="0" fillId="0" borderId="0" xfId="1" applyFont="1"/>
    <xf numFmtId="0" fontId="0" fillId="9" borderId="0" xfId="0" applyFill="1"/>
    <xf numFmtId="172" fontId="0" fillId="9" borderId="0" xfId="0" applyNumberFormat="1" applyFill="1"/>
    <xf numFmtId="3" fontId="0" fillId="9" borderId="0" xfId="0" applyNumberFormat="1" applyFill="1"/>
    <xf numFmtId="9" fontId="0" fillId="9" borderId="0" xfId="1" applyFont="1" applyFill="1"/>
    <xf numFmtId="17" fontId="2" fillId="8" borderId="0" xfId="0" applyNumberFormat="1" applyFont="1" applyFill="1" applyAlignment="1">
      <alignment horizontal="right"/>
    </xf>
    <xf numFmtId="0" fontId="0" fillId="0" borderId="0" xfId="0" applyNumberFormat="1"/>
    <xf numFmtId="14" fontId="0" fillId="0" borderId="0" xfId="0" applyNumberFormat="1"/>
    <xf numFmtId="17" fontId="0" fillId="0" borderId="0" xfId="0" applyNumberFormat="1"/>
    <xf numFmtId="0" fontId="0" fillId="0" borderId="0" xfId="0" applyAlignment="1">
      <alignment vertical="center"/>
    </xf>
    <xf numFmtId="17" fontId="15" fillId="10" borderId="0" xfId="0" applyNumberFormat="1" applyFont="1" applyFill="1" applyAlignment="1">
      <alignment vertical="center"/>
    </xf>
    <xf numFmtId="10" fontId="0" fillId="0" borderId="0" xfId="0" applyNumberFormat="1"/>
    <xf numFmtId="173" fontId="0" fillId="0" borderId="0" xfId="0" applyNumberForma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  <xf numFmtId="2" fontId="0" fillId="0" borderId="0" xfId="1" applyNumberFormat="1" applyFont="1"/>
    <xf numFmtId="178" fontId="0" fillId="0" borderId="0" xfId="1" applyNumberFormat="1" applyFont="1"/>
    <xf numFmtId="2" fontId="0" fillId="0" borderId="0" xfId="0" applyNumberFormat="1"/>
    <xf numFmtId="0" fontId="15" fillId="10" borderId="0" xfId="0" applyFont="1" applyFill="1"/>
    <xf numFmtId="43" fontId="10" fillId="10" borderId="0" xfId="2" applyFont="1" applyFill="1" applyBorder="1"/>
    <xf numFmtId="43" fontId="15" fillId="8" borderId="0" xfId="0" applyNumberFormat="1" applyFont="1" applyFill="1" applyAlignment="1">
      <alignment vertical="top"/>
    </xf>
    <xf numFmtId="0" fontId="15" fillId="8" borderId="0" xfId="0" applyFont="1" applyFill="1"/>
    <xf numFmtId="0" fontId="0" fillId="0" borderId="2" xfId="0" applyBorder="1"/>
    <xf numFmtId="0" fontId="15" fillId="10" borderId="0" xfId="0" applyFont="1" applyFill="1" applyAlignment="1">
      <alignment horizontal="center"/>
    </xf>
    <xf numFmtId="166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0" fontId="15" fillId="10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/>
    </xf>
    <xf numFmtId="9" fontId="16" fillId="0" borderId="0" xfId="1" applyFont="1" applyAlignment="1">
      <alignment horizontal="left"/>
    </xf>
    <xf numFmtId="0" fontId="16" fillId="0" borderId="2" xfId="0" applyFont="1" applyBorder="1"/>
    <xf numFmtId="9" fontId="16" fillId="0" borderId="2" xfId="0" applyNumberFormat="1" applyFont="1" applyBorder="1" applyAlignment="1">
      <alignment horizontal="left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ratio!$D$6:$L$6</c:f>
              <c:numCache>
                <c:formatCode>0.00%</c:formatCode>
                <c:ptCount val="9"/>
                <c:pt idx="0">
                  <c:v>8.578318575925481E-2</c:v>
                </c:pt>
                <c:pt idx="1">
                  <c:v>4.3554922604818413E-2</c:v>
                </c:pt>
                <c:pt idx="2">
                  <c:v>0.18975012997140639</c:v>
                </c:pt>
                <c:pt idx="3">
                  <c:v>7.1594873790650215E-2</c:v>
                </c:pt>
                <c:pt idx="4">
                  <c:v>4.6053176509566862E-2</c:v>
                </c:pt>
                <c:pt idx="5">
                  <c:v>0.1679711530847805</c:v>
                </c:pt>
                <c:pt idx="6">
                  <c:v>0.17576686796624852</c:v>
                </c:pt>
                <c:pt idx="7">
                  <c:v>6.8460644554639849E-2</c:v>
                </c:pt>
                <c:pt idx="8">
                  <c:v>5.9906265437351891E-2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7-41E9-AA2C-B092F9187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1174751"/>
        <c:axId val="421175711"/>
      </c:lineChart>
      <c:catAx>
        <c:axId val="4211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75711"/>
        <c:crosses val="autoZero"/>
        <c:auto val="1"/>
        <c:lblAlgn val="ctr"/>
        <c:lblOffset val="100"/>
        <c:noMultiLvlLbl val="0"/>
      </c:catAx>
      <c:valAx>
        <c:axId val="42117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17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'Financials '!$B$2:$B$3</c:f>
              <c:strCache>
                <c:ptCount val="2"/>
                <c:pt idx="0">
                  <c:v>TATA CONSULTANCY SERVICES LTD - Sales Forecast</c:v>
                </c:pt>
                <c:pt idx="1">
                  <c:v>Year weight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'Financials '!$B$4:$B$18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B-4557-AB21-A4AE5C67501A}"/>
            </c:ext>
          </c:extLst>
        </c:ser>
        <c:ser>
          <c:idx val="1"/>
          <c:order val="1"/>
          <c:tx>
            <c:strRef>
              <c:f>'Financials '!$C$2:$C$3</c:f>
              <c:strCache>
                <c:ptCount val="2"/>
                <c:pt idx="0">
                  <c:v>TATA CONSULTANCY SERVICES LTD - Sales Forecast</c:v>
                </c:pt>
                <c:pt idx="1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'Financials '!$C$4:$C$18</c:f>
              <c:numCache>
                <c:formatCode>0"A"</c:formatCode>
                <c:ptCount val="1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 formatCode="0&quot;E&quot;">
                  <c:v>2023</c:v>
                </c:pt>
                <c:pt idx="11" formatCode="0&quot;E&quot;">
                  <c:v>2024</c:v>
                </c:pt>
                <c:pt idx="12" formatCode="0&quot;E&quot;">
                  <c:v>2025</c:v>
                </c:pt>
                <c:pt idx="13" formatCode="0&quot;E&quot;">
                  <c:v>2026</c:v>
                </c:pt>
                <c:pt idx="14" formatCode="0&quot;E&quot;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B-4557-AB21-A4AE5C67501A}"/>
            </c:ext>
          </c:extLst>
        </c:ser>
        <c:ser>
          <c:idx val="2"/>
          <c:order val="2"/>
          <c:tx>
            <c:strRef>
              <c:f>'Financials '!$D$2:$D$3</c:f>
              <c:strCache>
                <c:ptCount val="2"/>
                <c:pt idx="0">
                  <c:v>TATA CONSULTANCY SERVICES LTD - Sales Forecast</c:v>
                </c:pt>
                <c:pt idx="1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'Financials '!$D$4:$D$18</c:f>
              <c:numCache>
                <c:formatCode>#,##0</c:formatCode>
                <c:ptCount val="15"/>
                <c:pt idx="0">
                  <c:v>108646</c:v>
                </c:pt>
                <c:pt idx="1">
                  <c:v>117966</c:v>
                </c:pt>
                <c:pt idx="2">
                  <c:v>123104</c:v>
                </c:pt>
                <c:pt idx="3">
                  <c:v>146463</c:v>
                </c:pt>
                <c:pt idx="4">
                  <c:v>156949</c:v>
                </c:pt>
                <c:pt idx="5">
                  <c:v>164177</c:v>
                </c:pt>
                <c:pt idx="6">
                  <c:v>191754</c:v>
                </c:pt>
                <c:pt idx="7">
                  <c:v>225458</c:v>
                </c:pt>
                <c:pt idx="8">
                  <c:v>240893</c:v>
                </c:pt>
                <c:pt idx="9">
                  <c:v>255324</c:v>
                </c:pt>
                <c:pt idx="10">
                  <c:v>267588.8</c:v>
                </c:pt>
                <c:pt idx="11">
                  <c:v>284773.41818181821</c:v>
                </c:pt>
                <c:pt idx="12">
                  <c:v>301958.03636363638</c:v>
                </c:pt>
                <c:pt idx="13">
                  <c:v>319142.65454545454</c:v>
                </c:pt>
                <c:pt idx="14">
                  <c:v>336327.27272727271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B-4557-AB21-A4AE5C67501A}"/>
            </c:ext>
          </c:extLst>
        </c:ser>
        <c:ser>
          <c:idx val="3"/>
          <c:order val="3"/>
          <c:tx>
            <c:strRef>
              <c:f>'Financials '!$E$2:$E$3</c:f>
              <c:strCache>
                <c:ptCount val="2"/>
                <c:pt idx="0">
                  <c:v>TATA CONSULTANCY SERVICES LTD - Sales Forecast</c:v>
                </c:pt>
                <c:pt idx="1">
                  <c:v>Sales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'Financials '!$E$4:$E$18</c:f>
              <c:numCache>
                <c:formatCode>0%</c:formatCode>
                <c:ptCount val="15"/>
                <c:pt idx="1">
                  <c:v>8.578318575925481E-2</c:v>
                </c:pt>
                <c:pt idx="2">
                  <c:v>4.3554922604818413E-2</c:v>
                </c:pt>
                <c:pt idx="3">
                  <c:v>0.18975012997140639</c:v>
                </c:pt>
                <c:pt idx="4">
                  <c:v>7.1594873790650215E-2</c:v>
                </c:pt>
                <c:pt idx="5">
                  <c:v>4.6053176509566862E-2</c:v>
                </c:pt>
                <c:pt idx="6">
                  <c:v>0.1679711530847805</c:v>
                </c:pt>
                <c:pt idx="7">
                  <c:v>0.17576686796624852</c:v>
                </c:pt>
                <c:pt idx="8">
                  <c:v>6.8460644554639849E-2</c:v>
                </c:pt>
                <c:pt idx="9">
                  <c:v>5.9906265437351891E-2</c:v>
                </c:pt>
                <c:pt idx="10">
                  <c:v>4.8036220645141015E-2</c:v>
                </c:pt>
                <c:pt idx="11">
                  <c:v>6.4220244576074226E-2</c:v>
                </c:pt>
                <c:pt idx="12">
                  <c:v>6.0344881525586702E-2</c:v>
                </c:pt>
                <c:pt idx="13">
                  <c:v>5.6910617080326409E-2</c:v>
                </c:pt>
                <c:pt idx="14">
                  <c:v>5.3846196793386092E-2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6B-4557-AB21-A4AE5C675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847952"/>
        <c:axId val="322849392"/>
      </c:lineChart>
      <c:catAx>
        <c:axId val="322847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849392"/>
        <c:crosses val="autoZero"/>
        <c:auto val="1"/>
        <c:lblAlgn val="ctr"/>
        <c:lblOffset val="100"/>
        <c:noMultiLvlLbl val="0"/>
      </c:catAx>
      <c:valAx>
        <c:axId val="322849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84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'Financials '!$J$3</c:f>
              <c:strCache>
                <c:ptCount val="1"/>
                <c:pt idx="0">
                  <c:v>Year weight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'Financials '!$J$4:$J$18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2-4BB0-B52F-F6A0E3FD6CD5}"/>
            </c:ext>
          </c:extLst>
        </c:ser>
        <c:ser>
          <c:idx val="1"/>
          <c:order val="1"/>
          <c:tx>
            <c:strRef>
              <c:f>'Financials '!$K$3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'Financials '!$K$4:$K$18</c:f>
              <c:numCache>
                <c:formatCode>0"A"</c:formatCode>
                <c:ptCount val="1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 formatCode="0&quot;E&quot;">
                  <c:v>2023</c:v>
                </c:pt>
                <c:pt idx="11" formatCode="0&quot;E&quot;">
                  <c:v>2024</c:v>
                </c:pt>
                <c:pt idx="12" formatCode="0&quot;E&quot;">
                  <c:v>2025</c:v>
                </c:pt>
                <c:pt idx="13" formatCode="0&quot;E&quot;">
                  <c:v>2026</c:v>
                </c:pt>
                <c:pt idx="14" formatCode="0&quot;E&quot;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2-4BB0-B52F-F6A0E3FD6CD5}"/>
            </c:ext>
          </c:extLst>
        </c:ser>
        <c:ser>
          <c:idx val="2"/>
          <c:order val="2"/>
          <c:tx>
            <c:strRef>
              <c:f>'Financials '!$L$3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'Financials '!$L$4:$L$18</c:f>
              <c:numCache>
                <c:formatCode>#,##0</c:formatCode>
                <c:ptCount val="15"/>
                <c:pt idx="0">
                  <c:v>30677</c:v>
                </c:pt>
                <c:pt idx="1">
                  <c:v>32311</c:v>
                </c:pt>
                <c:pt idx="2">
                  <c:v>32516</c:v>
                </c:pt>
                <c:pt idx="3">
                  <c:v>39506</c:v>
                </c:pt>
                <c:pt idx="4">
                  <c:v>42109</c:v>
                </c:pt>
                <c:pt idx="5">
                  <c:v>46546</c:v>
                </c:pt>
                <c:pt idx="6">
                  <c:v>53057</c:v>
                </c:pt>
                <c:pt idx="7">
                  <c:v>59259</c:v>
                </c:pt>
                <c:pt idx="8">
                  <c:v>64296</c:v>
                </c:pt>
                <c:pt idx="9">
                  <c:v>67407</c:v>
                </c:pt>
                <c:pt idx="10">
                  <c:v>71210.733333333337</c:v>
                </c:pt>
                <c:pt idx="11">
                  <c:v>75654.793939393945</c:v>
                </c:pt>
                <c:pt idx="12">
                  <c:v>80098.854545454553</c:v>
                </c:pt>
                <c:pt idx="13">
                  <c:v>84542.915151515146</c:v>
                </c:pt>
                <c:pt idx="14">
                  <c:v>88986.975757575754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A2-4BB0-B52F-F6A0E3FD6CD5}"/>
            </c:ext>
          </c:extLst>
        </c:ser>
        <c:ser>
          <c:idx val="3"/>
          <c:order val="3"/>
          <c:tx>
            <c:strRef>
              <c:f>'Financials '!$M$3</c:f>
              <c:strCache>
                <c:ptCount val="1"/>
                <c:pt idx="0">
                  <c:v>Sales Growth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'Financials '!$M$4:$M$18</c:f>
              <c:numCache>
                <c:formatCode>0%</c:formatCode>
                <c:ptCount val="15"/>
                <c:pt idx="1">
                  <c:v>5.3264660820810272E-2</c:v>
                </c:pt>
                <c:pt idx="2">
                  <c:v>6.3445885302217953E-3</c:v>
                </c:pt>
                <c:pt idx="3">
                  <c:v>0.21497109115512369</c:v>
                </c:pt>
                <c:pt idx="4">
                  <c:v>6.5888725763175282E-2</c:v>
                </c:pt>
                <c:pt idx="5">
                  <c:v>0.10536939846588611</c:v>
                </c:pt>
                <c:pt idx="6">
                  <c:v>0.13988312636961275</c:v>
                </c:pt>
                <c:pt idx="7">
                  <c:v>0.11689315264715305</c:v>
                </c:pt>
                <c:pt idx="8">
                  <c:v>8.4999746873892557E-2</c:v>
                </c:pt>
                <c:pt idx="9">
                  <c:v>4.8385591638671066E-2</c:v>
                </c:pt>
                <c:pt idx="10">
                  <c:v>5.6429352045534342E-2</c:v>
                </c:pt>
                <c:pt idx="11">
                  <c:v>6.2407173722790032E-2</c:v>
                </c:pt>
                <c:pt idx="12">
                  <c:v>5.8741295490417844E-2</c:v>
                </c:pt>
                <c:pt idx="13">
                  <c:v>5.5482199230934892E-2</c:v>
                </c:pt>
                <c:pt idx="14">
                  <c:v>5.2565736562266707E-2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A2-4BB0-B52F-F6A0E3FD6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409696"/>
        <c:axId val="325410176"/>
      </c:lineChart>
      <c:catAx>
        <c:axId val="325409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10176"/>
        <c:crosses val="autoZero"/>
        <c:auto val="1"/>
        <c:lblAlgn val="ctr"/>
        <c:lblOffset val="100"/>
        <c:noMultiLvlLbl val="0"/>
      </c:catAx>
      <c:valAx>
        <c:axId val="32541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40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67152230971128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'Financials '!$O$4:$O$18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0E-42F0-B27F-E2AAF6BBFA5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'Financials '!$P$4:$P$18</c:f>
              <c:numCache>
                <c:formatCode>0"A"</c:formatCode>
                <c:ptCount val="15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 formatCode="0&quot;E&quot;">
                  <c:v>2023</c:v>
                </c:pt>
                <c:pt idx="11" formatCode="0&quot;E&quot;">
                  <c:v>2024</c:v>
                </c:pt>
                <c:pt idx="12" formatCode="0&quot;E&quot;">
                  <c:v>2025</c:v>
                </c:pt>
                <c:pt idx="13" formatCode="0&quot;E&quot;">
                  <c:v>2026</c:v>
                </c:pt>
                <c:pt idx="14" formatCode="0&quot;E&quot;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0E-42F0-B27F-E2AAF6BBFA5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'Financials '!$Q$4:$Q$18</c:f>
              <c:numCache>
                <c:formatCode>#,##0</c:formatCode>
                <c:ptCount val="15"/>
                <c:pt idx="0">
                  <c:v>53.931842980029948</c:v>
                </c:pt>
                <c:pt idx="1">
                  <c:v>56.169910426552313</c:v>
                </c:pt>
                <c:pt idx="2">
                  <c:v>58.083894896306745</c:v>
                </c:pt>
                <c:pt idx="3">
                  <c:v>72.622854706321291</c:v>
                </c:pt>
                <c:pt idx="4">
                  <c:v>74.232491205628392</c:v>
                </c:pt>
                <c:pt idx="5">
                  <c:v>82.847179043551122</c:v>
                </c:pt>
                <c:pt idx="6">
                  <c:v>94.096909076002291</c:v>
                </c:pt>
                <c:pt idx="7">
                  <c:v>106.18458090787351</c:v>
                </c:pt>
                <c:pt idx="8">
                  <c:v>117.8380918161466</c:v>
                </c:pt>
                <c:pt idx="9">
                  <c:v>123.918631325834</c:v>
                </c:pt>
                <c:pt idx="10">
                  <c:v>129.8292601665645</c:v>
                </c:pt>
                <c:pt idx="11">
                  <c:v>138.16319135349897</c:v>
                </c:pt>
                <c:pt idx="12">
                  <c:v>146.49712254043351</c:v>
                </c:pt>
                <c:pt idx="13">
                  <c:v>154.83105372736804</c:v>
                </c:pt>
                <c:pt idx="14">
                  <c:v>163.16498491430255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0E-42F0-B27F-E2AAF6BBFA5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'Financials '!$R$4:$R$18</c:f>
              <c:numCache>
                <c:formatCode>0%</c:formatCode>
                <c:ptCount val="15"/>
                <c:pt idx="1">
                  <c:v>4.1498070951350163E-2</c:v>
                </c:pt>
                <c:pt idx="2">
                  <c:v>3.4074906924716375E-2</c:v>
                </c:pt>
                <c:pt idx="3">
                  <c:v>0.25030965702231178</c:v>
                </c:pt>
                <c:pt idx="4">
                  <c:v>2.2164324244981604E-2</c:v>
                </c:pt>
                <c:pt idx="5">
                  <c:v>0.1160500974439822</c:v>
                </c:pt>
                <c:pt idx="6">
                  <c:v>0.13578893285596849</c:v>
                </c:pt>
                <c:pt idx="7">
                  <c:v>0.12845981818709884</c:v>
                </c:pt>
                <c:pt idx="8">
                  <c:v>0.10974767530875096</c:v>
                </c:pt>
                <c:pt idx="9">
                  <c:v>5.1600797466869963E-2</c:v>
                </c:pt>
                <c:pt idx="10">
                  <c:v>4.7697660775392059E-2</c:v>
                </c:pt>
                <c:pt idx="11">
                  <c:v>6.4191470984602761E-2</c:v>
                </c:pt>
                <c:pt idx="12">
                  <c:v>6.0319475145964585E-2</c:v>
                </c:pt>
                <c:pt idx="13">
                  <c:v>5.6888019658094979E-2</c:v>
                </c:pt>
                <c:pt idx="14">
                  <c:v>5.3825966989859753E-2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0E-42F0-B27F-E2AAF6BBF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872304"/>
        <c:axId val="328875664"/>
      </c:lineChart>
      <c:catAx>
        <c:axId val="328872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75664"/>
        <c:crosses val="autoZero"/>
        <c:auto val="1"/>
        <c:lblAlgn val="ctr"/>
        <c:lblOffset val="100"/>
        <c:noMultiLvlLbl val="0"/>
      </c:catAx>
      <c:valAx>
        <c:axId val="32887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87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HistoricalFS!$B$5</c:f>
              <c:strCache>
                <c:ptCount val="1"/>
                <c:pt idx="0">
                  <c:v>Income Statement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HistoricalFS!$C$3:$M$3</c:f>
              <c:strCache>
                <c:ptCount val="11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  <c:pt idx="10">
                  <c:v>LTM</c:v>
                </c:pt>
              </c:strCache>
            </c:strRef>
          </c:cat>
          <c:val>
            <c:numRef>
              <c:f>HistoricalFS!$C$5:$M$5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FF60-4FC6-AA91-EEF019EBDD87}"/>
            </c:ext>
          </c:extLst>
        </c:ser>
        <c:ser>
          <c:idx val="2"/>
          <c:order val="2"/>
          <c:tx>
            <c:strRef>
              <c:f>HistoricalFS!$B$6</c:f>
              <c:strCache>
                <c:ptCount val="1"/>
                <c:pt idx="0">
                  <c:v>Sales</c:v>
                </c:pt>
              </c:strCache>
            </c:strRef>
          </c:tx>
          <c:spPr>
            <a:noFill/>
            <a:ln w="9525" cap="flat" cmpd="sng" algn="ctr">
              <a:solidFill>
                <a:schemeClr val="accent4">
                  <a:tint val="65000"/>
                </a:schemeClr>
              </a:solidFill>
              <a:miter lim="800000"/>
            </a:ln>
            <a:effectLst>
              <a:glow rad="63500">
                <a:schemeClr val="accent4">
                  <a:tint val="65000"/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4">
                    <a:tint val="65000"/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HistoricalFS!$C$3:$M$3</c:f>
              <c:strCache>
                <c:ptCount val="11"/>
                <c:pt idx="0">
                  <c:v>Mar-16</c:v>
                </c:pt>
                <c:pt idx="1">
                  <c:v>Mar-17</c:v>
                </c:pt>
                <c:pt idx="2">
                  <c:v>Mar-18</c:v>
                </c:pt>
                <c:pt idx="3">
                  <c:v>Mar-19</c:v>
                </c:pt>
                <c:pt idx="4">
                  <c:v>Mar-20</c:v>
                </c:pt>
                <c:pt idx="5">
                  <c:v>Mar-21</c:v>
                </c:pt>
                <c:pt idx="6">
                  <c:v>Mar-22</c:v>
                </c:pt>
                <c:pt idx="7">
                  <c:v>Mar-23</c:v>
                </c:pt>
                <c:pt idx="8">
                  <c:v>Mar-24</c:v>
                </c:pt>
                <c:pt idx="9">
                  <c:v>Mar-25</c:v>
                </c:pt>
                <c:pt idx="10">
                  <c:v>LTM</c:v>
                </c:pt>
              </c:strCache>
            </c:strRef>
          </c:cat>
          <c:val>
            <c:numRef>
              <c:f>HistoricalFS!$C$6:$M$6</c:f>
              <c:numCache>
                <c:formatCode>"₹"\ #,##0.0;\("₹"\ #,##0.0\);\-</c:formatCode>
                <c:ptCount val="11"/>
                <c:pt idx="0">
                  <c:v>108646</c:v>
                </c:pt>
                <c:pt idx="1">
                  <c:v>117966</c:v>
                </c:pt>
                <c:pt idx="2">
                  <c:v>123104</c:v>
                </c:pt>
                <c:pt idx="3">
                  <c:v>146463</c:v>
                </c:pt>
                <c:pt idx="4">
                  <c:v>156949</c:v>
                </c:pt>
                <c:pt idx="5">
                  <c:v>164177</c:v>
                </c:pt>
                <c:pt idx="6">
                  <c:v>191754</c:v>
                </c:pt>
                <c:pt idx="7">
                  <c:v>225458</c:v>
                </c:pt>
                <c:pt idx="8">
                  <c:v>240893</c:v>
                </c:pt>
                <c:pt idx="9">
                  <c:v>255324</c:v>
                </c:pt>
                <c:pt idx="10">
                  <c:v>257688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0-4FC6-AA91-EEF019EBD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2585135"/>
        <c:axId val="19258369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HistoricalFS!$B$4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4">
                        <a:shade val="65000"/>
                      </a:schemeClr>
                    </a:solidFill>
                    <a:miter lim="800000"/>
                  </a:ln>
                  <a:effectLst>
                    <a:glow rad="63500">
                      <a:schemeClr val="accent4">
                        <a:shade val="65000"/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HistoricalFS!$C$3:$M$3</c15:sqref>
                        </c15:formulaRef>
                      </c:ext>
                    </c:extLst>
                    <c:strCache>
                      <c:ptCount val="11"/>
                      <c:pt idx="0">
                        <c:v>Mar-16</c:v>
                      </c:pt>
                      <c:pt idx="1">
                        <c:v>Mar-17</c:v>
                      </c:pt>
                      <c:pt idx="2">
                        <c:v>Mar-18</c:v>
                      </c:pt>
                      <c:pt idx="3">
                        <c:v>Mar-19</c:v>
                      </c:pt>
                      <c:pt idx="4">
                        <c:v>Mar-20</c:v>
                      </c:pt>
                      <c:pt idx="5">
                        <c:v>Mar-21</c:v>
                      </c:pt>
                      <c:pt idx="6">
                        <c:v>Mar-22</c:v>
                      </c:pt>
                      <c:pt idx="7">
                        <c:v>Mar-23</c:v>
                      </c:pt>
                      <c:pt idx="8">
                        <c:v>Mar-24</c:v>
                      </c:pt>
                      <c:pt idx="9">
                        <c:v>Mar-25</c:v>
                      </c:pt>
                      <c:pt idx="10">
                        <c:v>LTM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HistoricalFS!$C$4:$M$4</c15:sqref>
                        </c15:formulaRef>
                      </c:ext>
                    </c:extLst>
                    <c:numCache>
                      <c:formatCode>mmm\-yy</c:formatCode>
                      <c:ptCount val="1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F60-4FC6-AA91-EEF019EBDD87}"/>
                  </c:ext>
                </c:extLst>
              </c15:ser>
            </c15:filteredBarSeries>
          </c:ext>
        </c:extLst>
      </c:barChart>
      <c:catAx>
        <c:axId val="19258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3695"/>
        <c:crosses val="autoZero"/>
        <c:auto val="1"/>
        <c:lblAlgn val="ctr"/>
        <c:lblOffset val="100"/>
        <c:noMultiLvlLbl val="0"/>
      </c:catAx>
      <c:valAx>
        <c:axId val="19258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4</xdr:row>
      <xdr:rowOff>22860</xdr:rowOff>
    </xdr:from>
    <xdr:to>
      <xdr:col>14</xdr:col>
      <xdr:colOff>243840</xdr:colOff>
      <xdr:row>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ED193-8736-AFD9-0E7D-9CA7F83AA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18</xdr:row>
      <xdr:rowOff>175260</xdr:rowOff>
    </xdr:from>
    <xdr:to>
      <xdr:col>5</xdr:col>
      <xdr:colOff>91440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DBAE9-7B7E-6A2D-4739-6BFCE823B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144780</xdr:colOff>
      <xdr:row>18</xdr:row>
      <xdr:rowOff>160020</xdr:rowOff>
    </xdr:from>
    <xdr:to>
      <xdr:col>12</xdr:col>
      <xdr:colOff>952500</xdr:colOff>
      <xdr:row>28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0837F5-B405-23D5-875F-B12AA0128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586740</xdr:colOff>
      <xdr:row>18</xdr:row>
      <xdr:rowOff>152400</xdr:rowOff>
    </xdr:from>
    <xdr:to>
      <xdr:col>18</xdr:col>
      <xdr:colOff>38100</xdr:colOff>
      <xdr:row>28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41156E-FB5C-EA66-F441-81BD3B01D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129540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93C97-385F-4863-927C-ADCA18ACB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AF76"/>
  <sheetViews>
    <sheetView showGridLines="0" workbookViewId="0">
      <pane ySplit="3" topLeftCell="A4" activePane="bottomLeft" state="frozen"/>
      <selection pane="bottomLeft" activeCell="E18" sqref="E18"/>
    </sheetView>
  </sheetViews>
  <sheetFormatPr defaultRowHeight="14.4" x14ac:dyDescent="0.3"/>
  <cols>
    <col min="1" max="1" width="1.88671875" customWidth="1"/>
    <col min="2" max="2" width="28.44140625" bestFit="1" customWidth="1"/>
    <col min="3" max="13" width="13" customWidth="1"/>
  </cols>
  <sheetData>
    <row r="2" spans="1:32" x14ac:dyDescent="0.3">
      <c r="B2" s="56" t="str">
        <f>"Historical Financial Statement - "&amp;'Data Sheet'!B1</f>
        <v>Historical Financial Statement - TATA CONSULTANCY SERVICES LTD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32" x14ac:dyDescent="0.3">
      <c r="B3" s="11" t="s">
        <v>56</v>
      </c>
      <c r="C3" s="12">
        <f>'Data Sheet'!B16</f>
        <v>42460</v>
      </c>
      <c r="D3" s="12">
        <f>'Data Sheet'!C16</f>
        <v>42825</v>
      </c>
      <c r="E3" s="12">
        <f>'Data Sheet'!D16</f>
        <v>43190</v>
      </c>
      <c r="F3" s="12">
        <f>'Data Sheet'!E16</f>
        <v>43555</v>
      </c>
      <c r="G3" s="12">
        <f>'Data Sheet'!F16</f>
        <v>43921</v>
      </c>
      <c r="H3" s="12">
        <f>'Data Sheet'!G16</f>
        <v>44286</v>
      </c>
      <c r="I3" s="12">
        <f>'Data Sheet'!H16</f>
        <v>44651</v>
      </c>
      <c r="J3" s="12">
        <f>'Data Sheet'!I16</f>
        <v>45016</v>
      </c>
      <c r="K3" s="12">
        <f>'Data Sheet'!J16</f>
        <v>45382</v>
      </c>
      <c r="L3" s="12">
        <f>'Data Sheet'!K16</f>
        <v>45747</v>
      </c>
      <c r="M3" s="13" t="s">
        <v>57</v>
      </c>
    </row>
    <row r="4" spans="1:32" x14ac:dyDescent="0.3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spans="1:32" x14ac:dyDescent="0.3">
      <c r="A5" t="s">
        <v>59</v>
      </c>
      <c r="B5" s="25" t="s">
        <v>58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32" x14ac:dyDescent="0.3">
      <c r="B6" t="s">
        <v>12</v>
      </c>
      <c r="C6" s="15">
        <f>IFERROR('Data Sheet'!B17,0)</f>
        <v>108646</v>
      </c>
      <c r="D6" s="15">
        <f>IFERROR('Data Sheet'!C17,0)</f>
        <v>117966</v>
      </c>
      <c r="E6" s="15">
        <f>IFERROR('Data Sheet'!D17,0)</f>
        <v>123104</v>
      </c>
      <c r="F6" s="15">
        <f>IFERROR('Data Sheet'!E17,0)</f>
        <v>146463</v>
      </c>
      <c r="G6" s="15">
        <f>IFERROR('Data Sheet'!F17,0)</f>
        <v>156949</v>
      </c>
      <c r="H6" s="15">
        <f>IFERROR('Data Sheet'!G17,0)</f>
        <v>164177</v>
      </c>
      <c r="I6" s="15">
        <f>IFERROR('Data Sheet'!H17,0)</f>
        <v>191754</v>
      </c>
      <c r="J6" s="15">
        <f>IFERROR('Data Sheet'!I17,0)</f>
        <v>225458</v>
      </c>
      <c r="K6" s="15">
        <f>IFERROR('Data Sheet'!J17,0)</f>
        <v>240893</v>
      </c>
      <c r="L6" s="15">
        <f>IFERROR('Data Sheet'!K17,0)</f>
        <v>255324</v>
      </c>
      <c r="M6" s="15">
        <f>IFERROR(SUM('Data Sheet'!H42:K42),0)</f>
        <v>257688</v>
      </c>
    </row>
    <row r="7" spans="1:32" x14ac:dyDescent="0.3">
      <c r="B7" s="18" t="s">
        <v>60</v>
      </c>
      <c r="C7" s="19" t="s">
        <v>61</v>
      </c>
      <c r="D7" s="20">
        <f>D6/C6-1</f>
        <v>8.578318575925481E-2</v>
      </c>
      <c r="E7" s="20">
        <f t="shared" ref="E7:M7" si="0">E6/D6-1</f>
        <v>4.3554922604818413E-2</v>
      </c>
      <c r="F7" s="20">
        <f t="shared" si="0"/>
        <v>0.18975012997140639</v>
      </c>
      <c r="G7" s="20">
        <f t="shared" si="0"/>
        <v>7.1594873790650215E-2</v>
      </c>
      <c r="H7" s="20">
        <f t="shared" si="0"/>
        <v>4.6053176509566862E-2</v>
      </c>
      <c r="I7" s="20">
        <f t="shared" si="0"/>
        <v>0.1679711530847805</v>
      </c>
      <c r="J7" s="20">
        <f t="shared" si="0"/>
        <v>0.17576686796624852</v>
      </c>
      <c r="K7" s="20">
        <f t="shared" si="0"/>
        <v>6.8460644554639849E-2</v>
      </c>
      <c r="L7" s="20">
        <f t="shared" si="0"/>
        <v>5.9906265437351891E-2</v>
      </c>
      <c r="M7" s="20">
        <f t="shared" si="0"/>
        <v>9.258824082342354E-3</v>
      </c>
      <c r="O7" s="20"/>
    </row>
    <row r="9" spans="1:32" x14ac:dyDescent="0.3">
      <c r="B9" t="s">
        <v>62</v>
      </c>
      <c r="C9" s="15">
        <f>IFERROR(SUM('Data Sheet'!B18,'Data Sheet'!B20:B22)-1*'Data Sheet'!B19,0)</f>
        <v>57919</v>
      </c>
      <c r="D9" s="15">
        <f>IFERROR(SUM('Data Sheet'!C18,'Data Sheet'!C20:C22)-1*'Data Sheet'!C19,0)</f>
        <v>64429</v>
      </c>
      <c r="E9" s="15">
        <f>IFERROR(SUM('Data Sheet'!D18,'Data Sheet'!D20:D22)-1*'Data Sheet'!D19,0)</f>
        <v>69096</v>
      </c>
      <c r="F9" s="15">
        <f>IFERROR(SUM('Data Sheet'!E18,'Data Sheet'!E20:E22)-1*'Data Sheet'!E19,0)</f>
        <v>80516</v>
      </c>
      <c r="G9" s="15">
        <f>IFERROR(SUM('Data Sheet'!F18,'Data Sheet'!F20:F22)-1*'Data Sheet'!F19,0)</f>
        <v>87857</v>
      </c>
      <c r="H9" s="15">
        <f>IFERROR(SUM('Data Sheet'!G18,'Data Sheet'!G20:G22)-1*'Data Sheet'!G19,0)</f>
        <v>93276</v>
      </c>
      <c r="I9" s="15">
        <f>IFERROR(SUM('Data Sheet'!H18,'Data Sheet'!H20:H22)-1*'Data Sheet'!H19,0)</f>
        <v>108717</v>
      </c>
      <c r="J9" s="15">
        <f>IFERROR(SUM('Data Sheet'!I18,'Data Sheet'!I20:I22)-1*'Data Sheet'!I19,0)</f>
        <v>129403</v>
      </c>
      <c r="K9" s="15">
        <f>IFERROR(SUM('Data Sheet'!J18,'Data Sheet'!J20:J22)-1*'Data Sheet'!J19,0)</f>
        <v>143833</v>
      </c>
      <c r="L9" s="15">
        <f>IFERROR(SUM('Data Sheet'!K18,'Data Sheet'!K20:K22)-1*'Data Sheet'!K19,0)</f>
        <v>157436</v>
      </c>
      <c r="M9" s="15">
        <f>IFERROR(SUM('Data Sheet'!H43:K43),0)</f>
        <v>188821</v>
      </c>
    </row>
    <row r="10" spans="1:32" x14ac:dyDescent="0.3">
      <c r="B10" s="18" t="s">
        <v>63</v>
      </c>
      <c r="C10" s="20">
        <f>C9/C6</f>
        <v>0.53309831931226181</v>
      </c>
      <c r="D10" s="20">
        <f t="shared" ref="D10:M10" si="1">D9/D6</f>
        <v>0.54616584439584293</v>
      </c>
      <c r="E10" s="20">
        <f t="shared" si="1"/>
        <v>0.56128151806602544</v>
      </c>
      <c r="F10" s="20">
        <f t="shared" si="1"/>
        <v>0.5497361108266251</v>
      </c>
      <c r="G10" s="20">
        <f t="shared" si="1"/>
        <v>0.55978056566145695</v>
      </c>
      <c r="H10" s="20">
        <f t="shared" si="1"/>
        <v>0.56814291892286983</v>
      </c>
      <c r="I10" s="20">
        <f t="shared" si="1"/>
        <v>0.56696079351669326</v>
      </c>
      <c r="J10" s="20">
        <f t="shared" si="1"/>
        <v>0.5739561248658287</v>
      </c>
      <c r="K10" s="20">
        <f t="shared" si="1"/>
        <v>0.59708252211562807</v>
      </c>
      <c r="L10" s="20">
        <f t="shared" si="1"/>
        <v>0.61661261769359721</v>
      </c>
      <c r="M10" s="20">
        <f t="shared" si="1"/>
        <v>0.73275045791810256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2" spans="1:32" x14ac:dyDescent="0.3">
      <c r="B12" t="s">
        <v>64</v>
      </c>
      <c r="C12" s="21">
        <f>C6-C9</f>
        <v>50727</v>
      </c>
      <c r="D12" s="21">
        <f t="shared" ref="D12:M12" si="2">D6-D9</f>
        <v>53537</v>
      </c>
      <c r="E12" s="21">
        <f t="shared" si="2"/>
        <v>54008</v>
      </c>
      <c r="F12" s="21">
        <f t="shared" si="2"/>
        <v>65947</v>
      </c>
      <c r="G12" s="21">
        <f t="shared" si="2"/>
        <v>69092</v>
      </c>
      <c r="H12" s="21">
        <f t="shared" si="2"/>
        <v>70901</v>
      </c>
      <c r="I12" s="21">
        <f t="shared" si="2"/>
        <v>83037</v>
      </c>
      <c r="J12" s="21">
        <f t="shared" si="2"/>
        <v>96055</v>
      </c>
      <c r="K12" s="21">
        <f t="shared" si="2"/>
        <v>97060</v>
      </c>
      <c r="L12" s="21">
        <f t="shared" si="2"/>
        <v>97888</v>
      </c>
      <c r="M12" s="21">
        <f t="shared" si="2"/>
        <v>68867</v>
      </c>
    </row>
    <row r="13" spans="1:32" x14ac:dyDescent="0.3">
      <c r="B13" s="18" t="s">
        <v>70</v>
      </c>
      <c r="C13" s="20">
        <f>C12/C6</f>
        <v>0.46690168068773819</v>
      </c>
      <c r="D13" s="20">
        <f t="shared" ref="D13:M13" si="3">D12/D6</f>
        <v>0.45383415560415713</v>
      </c>
      <c r="E13" s="20">
        <f t="shared" si="3"/>
        <v>0.4387184819339745</v>
      </c>
      <c r="F13" s="20">
        <f t="shared" si="3"/>
        <v>0.45026388917337484</v>
      </c>
      <c r="G13" s="20">
        <f t="shared" si="3"/>
        <v>0.4402194343385431</v>
      </c>
      <c r="H13" s="20">
        <f t="shared" si="3"/>
        <v>0.43185708107713017</v>
      </c>
      <c r="I13" s="20">
        <f t="shared" si="3"/>
        <v>0.43303920648330674</v>
      </c>
      <c r="J13" s="20">
        <f t="shared" si="3"/>
        <v>0.42604387513417136</v>
      </c>
      <c r="K13" s="20">
        <f t="shared" si="3"/>
        <v>0.40291747788437188</v>
      </c>
      <c r="L13" s="20">
        <f t="shared" si="3"/>
        <v>0.38338738230640285</v>
      </c>
      <c r="M13" s="20">
        <f t="shared" si="3"/>
        <v>0.2672495420818975</v>
      </c>
    </row>
    <row r="14" spans="1:32" x14ac:dyDescent="0.3">
      <c r="U14" s="54"/>
    </row>
    <row r="15" spans="1:32" x14ac:dyDescent="0.3">
      <c r="B15" t="s">
        <v>65</v>
      </c>
      <c r="C15" s="21">
        <f>IFERROR(SUM('Data Sheet'!B23:B24),0)</f>
        <v>20050</v>
      </c>
      <c r="D15" s="21">
        <f>IFERROR(SUM('Data Sheet'!C23:C24),0)</f>
        <v>21226</v>
      </c>
      <c r="E15" s="21">
        <f>IFERROR(SUM('Data Sheet'!D23:D24),0)</f>
        <v>21492</v>
      </c>
      <c r="F15" s="21">
        <f>IFERROR(SUM('Data Sheet'!E23:E24),0)</f>
        <v>26441</v>
      </c>
      <c r="G15" s="21">
        <f>IFERROR(SUM('Data Sheet'!F23:F24),0)</f>
        <v>26983</v>
      </c>
      <c r="H15" s="21">
        <f>IFERROR(SUM('Data Sheet'!G23:G24),0)</f>
        <v>24355</v>
      </c>
      <c r="I15" s="21">
        <f>IFERROR(SUM('Data Sheet'!H23:H24),0)</f>
        <v>29980</v>
      </c>
      <c r="J15" s="21">
        <f>IFERROR(SUM('Data Sheet'!I23:I24),0)</f>
        <v>36796</v>
      </c>
      <c r="K15" s="21">
        <f>IFERROR(SUM('Data Sheet'!J23:J24),0)</f>
        <v>32764</v>
      </c>
      <c r="L15" s="21">
        <f>IFERROR(SUM('Data Sheet'!K23:K24),0)</f>
        <v>30481</v>
      </c>
      <c r="M15" s="21"/>
    </row>
    <row r="16" spans="1:32" x14ac:dyDescent="0.3">
      <c r="B16" s="18" t="s">
        <v>66</v>
      </c>
      <c r="C16" s="20">
        <f>C15/C6</f>
        <v>0.18454429983616516</v>
      </c>
      <c r="D16" s="20">
        <f t="shared" ref="D16:M16" si="4">D15/D6</f>
        <v>0.17993320109184002</v>
      </c>
      <c r="E16" s="20">
        <f t="shared" si="4"/>
        <v>0.17458409149987003</v>
      </c>
      <c r="F16" s="20">
        <f t="shared" si="4"/>
        <v>0.18053023630541501</v>
      </c>
      <c r="G16" s="20">
        <f t="shared" si="4"/>
        <v>0.17192208934112355</v>
      </c>
      <c r="H16" s="20">
        <f t="shared" si="4"/>
        <v>0.14834599243499394</v>
      </c>
      <c r="I16" s="20">
        <f t="shared" si="4"/>
        <v>0.15634615184037881</v>
      </c>
      <c r="J16" s="20">
        <f t="shared" si="4"/>
        <v>0.16320556378571618</v>
      </c>
      <c r="K16" s="20">
        <f t="shared" si="4"/>
        <v>0.13601059391514075</v>
      </c>
      <c r="L16" s="20">
        <f t="shared" si="4"/>
        <v>0.11938164841534678</v>
      </c>
      <c r="M16" s="20">
        <f t="shared" si="4"/>
        <v>0</v>
      </c>
    </row>
    <row r="18" spans="2:13" x14ac:dyDescent="0.3">
      <c r="B18" t="s">
        <v>28</v>
      </c>
      <c r="C18" s="21">
        <f t="shared" ref="C18:L18" si="5">C12-C15</f>
        <v>30677</v>
      </c>
      <c r="D18" s="21">
        <f t="shared" si="5"/>
        <v>32311</v>
      </c>
      <c r="E18" s="21">
        <f t="shared" si="5"/>
        <v>32516</v>
      </c>
      <c r="F18" s="21">
        <f t="shared" si="5"/>
        <v>39506</v>
      </c>
      <c r="G18" s="21">
        <f t="shared" si="5"/>
        <v>42109</v>
      </c>
      <c r="H18" s="21">
        <f t="shared" si="5"/>
        <v>46546</v>
      </c>
      <c r="I18" s="21">
        <f t="shared" si="5"/>
        <v>53057</v>
      </c>
      <c r="J18" s="21">
        <f t="shared" si="5"/>
        <v>59259</v>
      </c>
      <c r="K18" s="21">
        <f t="shared" si="5"/>
        <v>64296</v>
      </c>
      <c r="L18" s="21">
        <f t="shared" si="5"/>
        <v>67407</v>
      </c>
      <c r="M18" s="21">
        <f>IFERROR(SUM('Data Sheet'!H51:K51),0)</f>
        <v>72282</v>
      </c>
    </row>
    <row r="19" spans="2:13" x14ac:dyDescent="0.3">
      <c r="B19" s="18" t="s">
        <v>67</v>
      </c>
      <c r="C19" s="20">
        <f>C18/C6</f>
        <v>0.28235738085157303</v>
      </c>
      <c r="D19" s="20">
        <f t="shared" ref="D19:M19" si="6">D18/D6</f>
        <v>0.27390095451231711</v>
      </c>
      <c r="E19" s="20">
        <f t="shared" si="6"/>
        <v>0.26413439043410447</v>
      </c>
      <c r="F19" s="20">
        <f t="shared" si="6"/>
        <v>0.26973365286795981</v>
      </c>
      <c r="G19" s="20">
        <f t="shared" si="6"/>
        <v>0.26829734499741953</v>
      </c>
      <c r="H19" s="20">
        <f t="shared" si="6"/>
        <v>0.28351108864213626</v>
      </c>
      <c r="I19" s="20">
        <f t="shared" si="6"/>
        <v>0.27669305464292793</v>
      </c>
      <c r="J19" s="20">
        <f t="shared" si="6"/>
        <v>0.26283831134845514</v>
      </c>
      <c r="K19" s="20">
        <f t="shared" si="6"/>
        <v>0.26690688396923118</v>
      </c>
      <c r="L19" s="20">
        <f t="shared" si="6"/>
        <v>0.26400573389105608</v>
      </c>
      <c r="M19" s="20">
        <f t="shared" si="6"/>
        <v>0.280502002421533</v>
      </c>
    </row>
    <row r="21" spans="2:13" x14ac:dyDescent="0.3">
      <c r="B21" t="s">
        <v>22</v>
      </c>
      <c r="C21" s="21">
        <f>IFERROR('Data Sheet'!B27,0)</f>
        <v>33</v>
      </c>
      <c r="D21" s="21">
        <f>IFERROR('Data Sheet'!C27,0)</f>
        <v>32</v>
      </c>
      <c r="E21" s="21">
        <f>IFERROR('Data Sheet'!D27,0)</f>
        <v>52</v>
      </c>
      <c r="F21" s="21">
        <f>IFERROR('Data Sheet'!E27,0)</f>
        <v>198</v>
      </c>
      <c r="G21" s="21">
        <f>IFERROR('Data Sheet'!F27,0)</f>
        <v>924</v>
      </c>
      <c r="H21" s="21">
        <f>IFERROR('Data Sheet'!G27,0)</f>
        <v>637</v>
      </c>
      <c r="I21" s="21">
        <f>IFERROR('Data Sheet'!H27,0)</f>
        <v>784</v>
      </c>
      <c r="J21" s="21">
        <f>IFERROR('Data Sheet'!I27,0)</f>
        <v>779</v>
      </c>
      <c r="K21" s="21">
        <f>IFERROR('Data Sheet'!J27,0)</f>
        <v>778</v>
      </c>
      <c r="L21" s="21">
        <f>IFERROR('Data Sheet'!K27,0)</f>
        <v>796</v>
      </c>
      <c r="M21" s="21">
        <f>IFERROR(SUM('Data Sheet'!H46:K46),0)</f>
        <v>885</v>
      </c>
    </row>
    <row r="22" spans="2:13" x14ac:dyDescent="0.3">
      <c r="B22" s="18" t="s">
        <v>68</v>
      </c>
      <c r="C22" s="20">
        <f>C21/C6</f>
        <v>3.0373874786002246E-4</v>
      </c>
      <c r="D22" s="20">
        <f t="shared" ref="D22:M22" si="7">D21/D6</f>
        <v>2.7126460166488649E-4</v>
      </c>
      <c r="E22" s="20">
        <f t="shared" si="7"/>
        <v>4.224070704445022E-4</v>
      </c>
      <c r="F22" s="20">
        <f t="shared" si="7"/>
        <v>1.3518772659306445E-3</v>
      </c>
      <c r="G22" s="20">
        <f t="shared" si="7"/>
        <v>5.8872627414000723E-3</v>
      </c>
      <c r="H22" s="20">
        <f t="shared" si="7"/>
        <v>3.879958824926756E-3</v>
      </c>
      <c r="I22" s="20">
        <f t="shared" si="7"/>
        <v>4.0885718159725483E-3</v>
      </c>
      <c r="J22" s="20">
        <f t="shared" si="7"/>
        <v>3.4551889930718805E-3</v>
      </c>
      <c r="K22" s="20">
        <f t="shared" si="7"/>
        <v>3.2296496784879592E-3</v>
      </c>
      <c r="L22" s="20">
        <f t="shared" si="7"/>
        <v>3.1176074321254562E-3</v>
      </c>
      <c r="M22" s="20">
        <f t="shared" si="7"/>
        <v>3.4343857688367329E-3</v>
      </c>
    </row>
    <row r="24" spans="2:13" x14ac:dyDescent="0.3">
      <c r="B24" t="s">
        <v>21</v>
      </c>
      <c r="C24" s="21">
        <f>IFERROR('Data Sheet'!B26,0)</f>
        <v>1888</v>
      </c>
      <c r="D24" s="21">
        <f>IFERROR('Data Sheet'!C26,0)</f>
        <v>1987</v>
      </c>
      <c r="E24" s="21">
        <f>IFERROR('Data Sheet'!D26,0)</f>
        <v>2014</v>
      </c>
      <c r="F24" s="21">
        <f>IFERROR('Data Sheet'!E26,0)</f>
        <v>2056</v>
      </c>
      <c r="G24" s="21">
        <f>IFERROR('Data Sheet'!F26,0)</f>
        <v>3529</v>
      </c>
      <c r="H24" s="21">
        <f>IFERROR('Data Sheet'!G26,0)</f>
        <v>4065</v>
      </c>
      <c r="I24" s="21">
        <f>IFERROR('Data Sheet'!H26,0)</f>
        <v>4604</v>
      </c>
      <c r="J24" s="21">
        <f>IFERROR('Data Sheet'!I26,0)</f>
        <v>5022</v>
      </c>
      <c r="K24" s="21">
        <f>IFERROR('Data Sheet'!J26,0)</f>
        <v>4985</v>
      </c>
      <c r="L24" s="21">
        <f>IFERROR('Data Sheet'!K26,0)</f>
        <v>5242</v>
      </c>
      <c r="M24" s="21">
        <f>IFERROR(SUM('Data Sheet'!H45:K45),0)</f>
        <v>5530</v>
      </c>
    </row>
    <row r="25" spans="2:13" x14ac:dyDescent="0.3">
      <c r="B25" s="18" t="s">
        <v>69</v>
      </c>
      <c r="C25" s="20">
        <f>C24/C6</f>
        <v>1.7377538059385526E-2</v>
      </c>
      <c r="D25" s="20">
        <f t="shared" ref="D25:M25" si="8">D24/D6</f>
        <v>1.6843836359629046E-2</v>
      </c>
      <c r="E25" s="20">
        <f t="shared" si="8"/>
        <v>1.6360150766831297E-2</v>
      </c>
      <c r="F25" s="20">
        <f t="shared" si="8"/>
        <v>1.4037675044209118E-2</v>
      </c>
      <c r="G25" s="20">
        <f t="shared" si="8"/>
        <v>2.248501105454638E-2</v>
      </c>
      <c r="H25" s="20">
        <f t="shared" si="8"/>
        <v>2.4759862830969016E-2</v>
      </c>
      <c r="I25" s="20">
        <f t="shared" si="8"/>
        <v>2.4009929388695932E-2</v>
      </c>
      <c r="J25" s="20">
        <f t="shared" si="8"/>
        <v>2.2274658694745805E-2</v>
      </c>
      <c r="K25" s="20">
        <f t="shared" si="8"/>
        <v>2.0693835022188273E-2</v>
      </c>
      <c r="L25" s="20">
        <f t="shared" si="8"/>
        <v>2.053077658191161E-2</v>
      </c>
      <c r="M25" s="20">
        <f t="shared" si="8"/>
        <v>2.1460060227872467E-2</v>
      </c>
    </row>
    <row r="27" spans="2:13" x14ac:dyDescent="0.3">
      <c r="B27" t="s">
        <v>71</v>
      </c>
      <c r="C27" s="21">
        <f>IFERROR(C18-SUM(C24,C21),0)</f>
        <v>28756</v>
      </c>
      <c r="D27" s="21">
        <f t="shared" ref="D27:M27" si="9">IFERROR(D18-SUM(D24,D21),0)</f>
        <v>30292</v>
      </c>
      <c r="E27" s="21">
        <f t="shared" si="9"/>
        <v>30450</v>
      </c>
      <c r="F27" s="21">
        <f t="shared" si="9"/>
        <v>37252</v>
      </c>
      <c r="G27" s="21">
        <f t="shared" si="9"/>
        <v>37656</v>
      </c>
      <c r="H27" s="21">
        <f t="shared" si="9"/>
        <v>41844</v>
      </c>
      <c r="I27" s="15">
        <f t="shared" si="9"/>
        <v>47669</v>
      </c>
      <c r="J27" s="15">
        <f t="shared" si="9"/>
        <v>53458</v>
      </c>
      <c r="K27" s="15">
        <f t="shared" si="9"/>
        <v>58533</v>
      </c>
      <c r="L27" s="15">
        <f t="shared" si="9"/>
        <v>61369</v>
      </c>
      <c r="M27" s="15">
        <f t="shared" si="9"/>
        <v>65867</v>
      </c>
    </row>
    <row r="28" spans="2:13" x14ac:dyDescent="0.3">
      <c r="B28" s="18" t="s">
        <v>72</v>
      </c>
      <c r="C28" s="20">
        <f>C27/C6</f>
        <v>0.26467610404432745</v>
      </c>
      <c r="D28" s="20">
        <f t="shared" ref="D28:M28" si="10">D27/D6</f>
        <v>0.25678585355102318</v>
      </c>
      <c r="E28" s="20">
        <f t="shared" si="10"/>
        <v>0.24735183259682869</v>
      </c>
      <c r="F28" s="20">
        <f t="shared" si="10"/>
        <v>0.25434410055782009</v>
      </c>
      <c r="G28" s="20">
        <f t="shared" si="10"/>
        <v>0.23992507120147308</v>
      </c>
      <c r="H28" s="20">
        <f t="shared" si="10"/>
        <v>0.25487126698624046</v>
      </c>
      <c r="I28" s="20">
        <f t="shared" si="10"/>
        <v>0.24859455343825942</v>
      </c>
      <c r="J28" s="20">
        <f t="shared" si="10"/>
        <v>0.23710846366063745</v>
      </c>
      <c r="K28" s="20">
        <f t="shared" si="10"/>
        <v>0.24298339926855492</v>
      </c>
      <c r="L28" s="20">
        <f t="shared" si="10"/>
        <v>0.24035734987701901</v>
      </c>
      <c r="M28" s="20">
        <f t="shared" si="10"/>
        <v>0.2556075564248238</v>
      </c>
    </row>
    <row r="30" spans="2:13" x14ac:dyDescent="0.3">
      <c r="B30" t="s">
        <v>24</v>
      </c>
      <c r="C30" s="15">
        <f>IFERROR('Data Sheet'!B29,0)</f>
        <v>7502</v>
      </c>
      <c r="D30" s="15">
        <f>IFERROR('Data Sheet'!C29,0)</f>
        <v>8156</v>
      </c>
      <c r="E30" s="15">
        <f>IFERROR('Data Sheet'!D29,0)</f>
        <v>8212</v>
      </c>
      <c r="F30" s="15">
        <f>IFERROR('Data Sheet'!E29,0)</f>
        <v>10001</v>
      </c>
      <c r="G30" s="15">
        <f>IFERROR('Data Sheet'!F29,0)</f>
        <v>9801</v>
      </c>
      <c r="H30" s="15">
        <f>IFERROR('Data Sheet'!G29,0)</f>
        <v>11198</v>
      </c>
      <c r="I30" s="15">
        <f>IFERROR('Data Sheet'!H29,0)</f>
        <v>13238</v>
      </c>
      <c r="J30" s="15">
        <f>IFERROR('Data Sheet'!I29,0)</f>
        <v>14604</v>
      </c>
      <c r="K30" s="15">
        <f>IFERROR('Data Sheet'!J29,0)</f>
        <v>15898</v>
      </c>
      <c r="L30" s="15">
        <f>IFERROR('Data Sheet'!K29,0)</f>
        <v>16534</v>
      </c>
      <c r="M30" s="15">
        <f>IFERROR(SUM('Data Sheet'!H48:K48),0)</f>
        <v>16428</v>
      </c>
    </row>
    <row r="31" spans="2:13" x14ac:dyDescent="0.3">
      <c r="B31" s="18" t="s">
        <v>27</v>
      </c>
      <c r="C31" s="20">
        <f>C30/C27</f>
        <v>0.26088468493531786</v>
      </c>
      <c r="D31" s="20">
        <f t="shared" ref="D31:M31" si="11">D30/D27</f>
        <v>0.26924600554601874</v>
      </c>
      <c r="E31" s="20">
        <f t="shared" si="11"/>
        <v>0.26968801313628898</v>
      </c>
      <c r="F31" s="20">
        <f t="shared" si="11"/>
        <v>0.26846880704391712</v>
      </c>
      <c r="G31" s="20">
        <f t="shared" si="11"/>
        <v>0.26027724665391971</v>
      </c>
      <c r="H31" s="20">
        <f t="shared" si="11"/>
        <v>0.2676130389064143</v>
      </c>
      <c r="I31" s="20">
        <f t="shared" si="11"/>
        <v>0.27770668568671464</v>
      </c>
      <c r="J31" s="20">
        <f t="shared" si="11"/>
        <v>0.27318642672752441</v>
      </c>
      <c r="K31" s="20">
        <f t="shared" si="11"/>
        <v>0.27160746929082741</v>
      </c>
      <c r="L31" s="20">
        <f t="shared" si="11"/>
        <v>0.26941941371050532</v>
      </c>
      <c r="M31" s="20">
        <f t="shared" si="11"/>
        <v>0.24941169326066165</v>
      </c>
    </row>
    <row r="33" spans="1:15" x14ac:dyDescent="0.3">
      <c r="B33" t="s">
        <v>73</v>
      </c>
      <c r="C33" s="15">
        <f>IFERROR(C27-C30,0)</f>
        <v>21254</v>
      </c>
      <c r="D33" s="15">
        <f t="shared" ref="D33:M33" si="12">IFERROR(D27-D30,0)</f>
        <v>22136</v>
      </c>
      <c r="E33" s="15">
        <f t="shared" si="12"/>
        <v>22238</v>
      </c>
      <c r="F33" s="15">
        <f t="shared" si="12"/>
        <v>27251</v>
      </c>
      <c r="G33" s="15">
        <f t="shared" si="12"/>
        <v>27855</v>
      </c>
      <c r="H33" s="15">
        <f t="shared" si="12"/>
        <v>30646</v>
      </c>
      <c r="I33" s="15">
        <f t="shared" si="12"/>
        <v>34431</v>
      </c>
      <c r="J33" s="15">
        <f t="shared" si="12"/>
        <v>38854</v>
      </c>
      <c r="K33" s="15">
        <f t="shared" si="12"/>
        <v>42635</v>
      </c>
      <c r="L33" s="15">
        <f t="shared" si="12"/>
        <v>44835</v>
      </c>
      <c r="M33" s="15">
        <f t="shared" si="12"/>
        <v>49439</v>
      </c>
    </row>
    <row r="34" spans="1:15" x14ac:dyDescent="0.3">
      <c r="B34" s="18" t="s">
        <v>74</v>
      </c>
      <c r="C34" s="20">
        <f>C33/C6</f>
        <v>0.19562616203081568</v>
      </c>
      <c r="D34" s="20">
        <f t="shared" ref="D34:M34" si="13">D33/D6</f>
        <v>0.18764728820168522</v>
      </c>
      <c r="E34" s="20">
        <f t="shared" si="13"/>
        <v>0.18064400831817001</v>
      </c>
      <c r="F34" s="20">
        <f t="shared" si="13"/>
        <v>0.18606064330240402</v>
      </c>
      <c r="G34" s="20">
        <f t="shared" si="13"/>
        <v>0.17747803426590802</v>
      </c>
      <c r="H34" s="20">
        <f t="shared" si="13"/>
        <v>0.1866643926981246</v>
      </c>
      <c r="I34" s="20">
        <f t="shared" si="13"/>
        <v>0.17955818392315154</v>
      </c>
      <c r="J34" s="20">
        <f t="shared" si="13"/>
        <v>0.17233364972633483</v>
      </c>
      <c r="K34" s="20">
        <f t="shared" si="13"/>
        <v>0.17698729311354003</v>
      </c>
      <c r="L34" s="20">
        <f t="shared" si="13"/>
        <v>0.17560041359214176</v>
      </c>
      <c r="M34" s="20">
        <f t="shared" si="13"/>
        <v>0.1918560429666884</v>
      </c>
      <c r="O34" s="54"/>
    </row>
    <row r="36" spans="1:15" x14ac:dyDescent="0.3">
      <c r="B36" t="s">
        <v>75</v>
      </c>
      <c r="C36">
        <f>IFERROR('Data Sheet'!B93,0)</f>
        <v>394.09</v>
      </c>
      <c r="D36">
        <f>IFERROR('Data Sheet'!C93,0)</f>
        <v>394.09</v>
      </c>
      <c r="E36">
        <f>IFERROR('Data Sheet'!D93,0)</f>
        <v>382.86</v>
      </c>
      <c r="F36">
        <f>IFERROR('Data Sheet'!E93,0)</f>
        <v>375.24</v>
      </c>
      <c r="G36">
        <f>IFERROR('Data Sheet'!F93,0)</f>
        <v>375.24</v>
      </c>
      <c r="H36">
        <f>IFERROR('Data Sheet'!G93,0)</f>
        <v>369.91</v>
      </c>
      <c r="I36">
        <f>IFERROR('Data Sheet'!H93,0)</f>
        <v>365.91</v>
      </c>
      <c r="J36">
        <f>IFERROR('Data Sheet'!I93,0)</f>
        <v>365.91</v>
      </c>
      <c r="K36">
        <f>IFERROR('Data Sheet'!J93,0)</f>
        <v>361.81</v>
      </c>
      <c r="L36">
        <f>IFERROR('Data Sheet'!K93,0)</f>
        <v>361.81</v>
      </c>
      <c r="M36">
        <f>L36</f>
        <v>361.81</v>
      </c>
    </row>
    <row r="37" spans="1:15" x14ac:dyDescent="0.3"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5" x14ac:dyDescent="0.3">
      <c r="B38" t="s">
        <v>77</v>
      </c>
      <c r="C38" s="21">
        <f>IFERROR(C33/C36,0)</f>
        <v>53.931842980029948</v>
      </c>
      <c r="D38" s="21">
        <f t="shared" ref="D38:M38" si="14">IFERROR(D33/D36,0)</f>
        <v>56.169910426552313</v>
      </c>
      <c r="E38" s="21">
        <f t="shared" si="14"/>
        <v>58.083894896306745</v>
      </c>
      <c r="F38" s="21">
        <f t="shared" si="14"/>
        <v>72.622854706321291</v>
      </c>
      <c r="G38" s="21">
        <f t="shared" si="14"/>
        <v>74.232491205628392</v>
      </c>
      <c r="H38" s="21">
        <f t="shared" si="14"/>
        <v>82.847179043551122</v>
      </c>
      <c r="I38" s="21">
        <f t="shared" si="14"/>
        <v>94.096909076002291</v>
      </c>
      <c r="J38" s="21">
        <f t="shared" si="14"/>
        <v>106.18458090787351</v>
      </c>
      <c r="K38" s="21">
        <f t="shared" si="14"/>
        <v>117.8380918161466</v>
      </c>
      <c r="L38" s="21">
        <f t="shared" si="14"/>
        <v>123.918631325834</v>
      </c>
      <c r="M38" s="21">
        <f t="shared" si="14"/>
        <v>136.64354219065254</v>
      </c>
    </row>
    <row r="39" spans="1:15" x14ac:dyDescent="0.3">
      <c r="B39" s="18" t="s">
        <v>78</v>
      </c>
      <c r="C39" s="20"/>
      <c r="D39" s="20">
        <f>IFERROR(D38/C38-1,0)</f>
        <v>4.1498070951350163E-2</v>
      </c>
      <c r="E39" s="20">
        <f t="shared" ref="E39:M39" si="15">IFERROR(E38/D38-1,0)</f>
        <v>3.4074906924716375E-2</v>
      </c>
      <c r="F39" s="20">
        <f t="shared" si="15"/>
        <v>0.25030965702231178</v>
      </c>
      <c r="G39" s="20">
        <f t="shared" si="15"/>
        <v>2.2164324244981604E-2</v>
      </c>
      <c r="H39" s="20">
        <f t="shared" si="15"/>
        <v>0.1160500974439822</v>
      </c>
      <c r="I39" s="20">
        <f t="shared" si="15"/>
        <v>0.13578893285596849</v>
      </c>
      <c r="J39" s="20">
        <f t="shared" si="15"/>
        <v>0.12845981818709884</v>
      </c>
      <c r="K39" s="20">
        <f t="shared" si="15"/>
        <v>0.10974767530875096</v>
      </c>
      <c r="L39" s="20">
        <f t="shared" si="15"/>
        <v>5.1600797466869963E-2</v>
      </c>
      <c r="M39" s="20">
        <f t="shared" si="15"/>
        <v>0.10268763243002099</v>
      </c>
    </row>
    <row r="41" spans="1:15" x14ac:dyDescent="0.3">
      <c r="B41" t="s">
        <v>76</v>
      </c>
      <c r="C41" s="15">
        <f>IFERROR('Data Sheet'!B31/HistoricalFS!C36,0)</f>
        <v>21.745032860514097</v>
      </c>
      <c r="D41" s="15">
        <f>IFERROR('Data Sheet'!C31/HistoricalFS!D36,0)</f>
        <v>23.494633205612931</v>
      </c>
      <c r="E41" s="15">
        <f>IFERROR('Data Sheet'!D31/HistoricalFS!E36,0)</f>
        <v>24.943843702658935</v>
      </c>
      <c r="F41" s="15">
        <f>IFERROR('Data Sheet'!E31/HistoricalFS!F36,0)</f>
        <v>29.980812280140711</v>
      </c>
      <c r="G41" s="15">
        <f>IFERROR('Data Sheet'!F31/HistoricalFS!G36,0)</f>
        <v>72.953309881675722</v>
      </c>
      <c r="H41" s="15">
        <f>IFERROR('Data Sheet'!G31/HistoricalFS!H36,0)</f>
        <v>38.009245492146739</v>
      </c>
      <c r="I41" s="15">
        <f>IFERROR('Data Sheet'!H31/HistoricalFS!I36,0)</f>
        <v>43.010576371238827</v>
      </c>
      <c r="J41" s="15">
        <f>IFERROR('Data Sheet'!I31/HistoricalFS!J36,0)</f>
        <v>115.02828564401081</v>
      </c>
      <c r="K41" s="15">
        <f>IFERROR('Data Sheet'!J31/HistoricalFS!K36,0)</f>
        <v>73.038335037726981</v>
      </c>
      <c r="L41" s="15">
        <f>IFERROR('Data Sheet'!K31/HistoricalFS!L36,0)</f>
        <v>126.06616732539177</v>
      </c>
      <c r="M41" s="15">
        <f>IFERROR('Data Sheet'!L31/HistoricalFS!M36,0)</f>
        <v>0</v>
      </c>
    </row>
    <row r="42" spans="1:15" x14ac:dyDescent="0.3">
      <c r="B42" s="18" t="s">
        <v>79</v>
      </c>
      <c r="C42" s="20">
        <f>IFERROR(C41/C38,0)</f>
        <v>0.40319469276371506</v>
      </c>
      <c r="D42" s="20">
        <f t="shared" ref="D42:M42" si="16">IFERROR(D41/D38,0)</f>
        <v>0.41827791832309358</v>
      </c>
      <c r="E42" s="20">
        <f t="shared" si="16"/>
        <v>0.42944509398327185</v>
      </c>
      <c r="F42" s="20">
        <f t="shared" si="16"/>
        <v>0.4128288870133206</v>
      </c>
      <c r="G42" s="20">
        <f t="shared" si="16"/>
        <v>0.98276790522347868</v>
      </c>
      <c r="H42" s="20">
        <f t="shared" si="16"/>
        <v>0.45878744371206692</v>
      </c>
      <c r="I42" s="20">
        <f t="shared" si="16"/>
        <v>0.45708808922192212</v>
      </c>
      <c r="J42" s="20">
        <f t="shared" si="16"/>
        <v>1.0832861481443352</v>
      </c>
      <c r="K42" s="20">
        <f t="shared" si="16"/>
        <v>0.61981939720886592</v>
      </c>
      <c r="L42" s="20">
        <f t="shared" si="16"/>
        <v>1.0173302107728337</v>
      </c>
      <c r="M42" s="20">
        <f t="shared" si="16"/>
        <v>0</v>
      </c>
    </row>
    <row r="44" spans="1:15" x14ac:dyDescent="0.3">
      <c r="B44" t="s">
        <v>80</v>
      </c>
      <c r="C44" s="16">
        <f>IFERROR(IF(C38&gt;C41,1-C42,0),0)</f>
        <v>0.59680530723628489</v>
      </c>
      <c r="D44" s="16">
        <f t="shared" ref="D44:M44" si="17">IFERROR(IF(D38&gt;D41,1-D42,0),0)</f>
        <v>0.58172208167690642</v>
      </c>
      <c r="E44" s="16">
        <f t="shared" si="17"/>
        <v>0.57055490601672809</v>
      </c>
      <c r="F44" s="16">
        <f t="shared" si="17"/>
        <v>0.58717111298667946</v>
      </c>
      <c r="G44" s="16">
        <f t="shared" si="17"/>
        <v>1.7232094776521323E-2</v>
      </c>
      <c r="H44" s="16">
        <f t="shared" si="17"/>
        <v>0.54121255628793308</v>
      </c>
      <c r="I44" s="16">
        <f t="shared" si="17"/>
        <v>0.54291191077807788</v>
      </c>
      <c r="J44" s="16">
        <f t="shared" si="17"/>
        <v>0</v>
      </c>
      <c r="K44" s="16">
        <f t="shared" si="17"/>
        <v>0.38018060279113408</v>
      </c>
      <c r="L44" s="16">
        <f t="shared" si="17"/>
        <v>0</v>
      </c>
      <c r="M44" s="16">
        <f t="shared" si="17"/>
        <v>1</v>
      </c>
    </row>
    <row r="46" spans="1:15" x14ac:dyDescent="0.3">
      <c r="A46" t="s">
        <v>59</v>
      </c>
      <c r="B46" s="25" t="s">
        <v>81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5" x14ac:dyDescent="0.3">
      <c r="B47" t="s">
        <v>33</v>
      </c>
      <c r="C47" s="15">
        <f>IFERROR('Data Sheet'!B57,0)</f>
        <v>197</v>
      </c>
      <c r="D47" s="15">
        <f>IFERROR('Data Sheet'!C57,0)</f>
        <v>197</v>
      </c>
      <c r="E47" s="15">
        <f>IFERROR('Data Sheet'!D57,0)</f>
        <v>191</v>
      </c>
      <c r="F47" s="15">
        <f>IFERROR('Data Sheet'!E57,0)</f>
        <v>375</v>
      </c>
      <c r="G47" s="15">
        <f>IFERROR('Data Sheet'!F57,0)</f>
        <v>375</v>
      </c>
      <c r="H47" s="15">
        <f>IFERROR('Data Sheet'!G57,0)</f>
        <v>370</v>
      </c>
      <c r="I47" s="15">
        <f>IFERROR('Data Sheet'!H57,0)</f>
        <v>366</v>
      </c>
      <c r="J47" s="15">
        <f>IFERROR('Data Sheet'!I57,0)</f>
        <v>366</v>
      </c>
      <c r="K47" s="15">
        <f>IFERROR('Data Sheet'!J57,0)</f>
        <v>362</v>
      </c>
      <c r="L47" s="15">
        <f>IFERROR('Data Sheet'!K57,0)</f>
        <v>362</v>
      </c>
    </row>
    <row r="48" spans="1:15" x14ac:dyDescent="0.3">
      <c r="B48" t="s">
        <v>34</v>
      </c>
      <c r="C48" s="15">
        <f>IFERROR('Data Sheet'!B58,0)</f>
        <v>70875</v>
      </c>
      <c r="D48" s="15">
        <f>IFERROR('Data Sheet'!C58,0)</f>
        <v>86017</v>
      </c>
      <c r="E48" s="15">
        <f>IFERROR('Data Sheet'!D58,0)</f>
        <v>84937</v>
      </c>
      <c r="F48" s="15">
        <f>IFERROR('Data Sheet'!E58,0)</f>
        <v>89071</v>
      </c>
      <c r="G48" s="15">
        <f>IFERROR('Data Sheet'!F58,0)</f>
        <v>83751</v>
      </c>
      <c r="H48" s="15">
        <f>IFERROR('Data Sheet'!G58,0)</f>
        <v>86063</v>
      </c>
      <c r="I48" s="15">
        <f>IFERROR('Data Sheet'!H58,0)</f>
        <v>88773</v>
      </c>
      <c r="J48" s="15">
        <f>IFERROR('Data Sheet'!I58,0)</f>
        <v>90058</v>
      </c>
      <c r="K48" s="15">
        <f>IFERROR('Data Sheet'!J58,0)</f>
        <v>90127</v>
      </c>
      <c r="L48" s="15">
        <f>IFERROR('Data Sheet'!K58,0)</f>
        <v>94394</v>
      </c>
    </row>
    <row r="49" spans="2:13" x14ac:dyDescent="0.3">
      <c r="B49" t="s">
        <v>35</v>
      </c>
      <c r="C49" s="15">
        <f>IFERROR('Data Sheet'!B59,0)</f>
        <v>245</v>
      </c>
      <c r="D49" s="15">
        <f>IFERROR('Data Sheet'!C59,0)</f>
        <v>289</v>
      </c>
      <c r="E49" s="15">
        <f>IFERROR('Data Sheet'!D59,0)</f>
        <v>247</v>
      </c>
      <c r="F49" s="15">
        <f>IFERROR('Data Sheet'!E59,0)</f>
        <v>62</v>
      </c>
      <c r="G49" s="15">
        <f>IFERROR('Data Sheet'!F59,0)</f>
        <v>8174</v>
      </c>
      <c r="H49" s="15">
        <f>IFERROR('Data Sheet'!G59,0)</f>
        <v>7795</v>
      </c>
      <c r="I49" s="15">
        <f>IFERROR('Data Sheet'!H59,0)</f>
        <v>7818</v>
      </c>
      <c r="J49" s="15">
        <f>IFERROR('Data Sheet'!I59,0)</f>
        <v>7688</v>
      </c>
      <c r="K49" s="15">
        <f>IFERROR('Data Sheet'!J59,0)</f>
        <v>8021</v>
      </c>
      <c r="L49" s="15">
        <f>IFERROR('Data Sheet'!K59,0)</f>
        <v>9392</v>
      </c>
    </row>
    <row r="50" spans="2:13" x14ac:dyDescent="0.3">
      <c r="B50" t="s">
        <v>36</v>
      </c>
      <c r="C50" s="15">
        <f>IFERROR('Data Sheet'!B60,0)</f>
        <v>16974</v>
      </c>
      <c r="D50" s="15">
        <f>IFERROR('Data Sheet'!C60,0)</f>
        <v>15830</v>
      </c>
      <c r="E50" s="15">
        <f>IFERROR('Data Sheet'!D60,0)</f>
        <v>19751</v>
      </c>
      <c r="F50" s="15">
        <f>IFERROR('Data Sheet'!E60,0)</f>
        <v>24393</v>
      </c>
      <c r="G50" s="15">
        <f>IFERROR('Data Sheet'!F60,0)</f>
        <v>27827</v>
      </c>
      <c r="H50" s="15">
        <f>IFERROR('Data Sheet'!G60,0)</f>
        <v>35764</v>
      </c>
      <c r="I50" s="15">
        <f>IFERROR('Data Sheet'!H60,0)</f>
        <v>43967</v>
      </c>
      <c r="J50" s="15">
        <f>IFERROR('Data Sheet'!I60,0)</f>
        <v>44747</v>
      </c>
      <c r="K50" s="15">
        <f>IFERROR('Data Sheet'!J60,0)</f>
        <v>46962</v>
      </c>
      <c r="L50" s="15">
        <f>IFERROR('Data Sheet'!K60,0)</f>
        <v>54501</v>
      </c>
    </row>
    <row r="51" spans="2:13" x14ac:dyDescent="0.3">
      <c r="B51" s="14" t="s">
        <v>82</v>
      </c>
      <c r="C51" s="27">
        <f>IFERROR('Data Sheet'!B61,0)</f>
        <v>88291</v>
      </c>
      <c r="D51" s="27">
        <f>IFERROR('Data Sheet'!C61,0)</f>
        <v>102333</v>
      </c>
      <c r="E51" s="27">
        <f>IFERROR('Data Sheet'!D61,0)</f>
        <v>105126</v>
      </c>
      <c r="F51" s="27">
        <f>IFERROR('Data Sheet'!E61,0)</f>
        <v>113901</v>
      </c>
      <c r="G51" s="27">
        <f>IFERROR('Data Sheet'!F61,0)</f>
        <v>120127</v>
      </c>
      <c r="H51" s="27">
        <f>IFERROR('Data Sheet'!G61,0)</f>
        <v>129992</v>
      </c>
      <c r="I51" s="27">
        <f>IFERROR('Data Sheet'!H61,0)</f>
        <v>140924</v>
      </c>
      <c r="J51" s="27">
        <f>IFERROR('Data Sheet'!I61,0)</f>
        <v>142859</v>
      </c>
      <c r="K51" s="27">
        <f>IFERROR('Data Sheet'!J61,0)</f>
        <v>145472</v>
      </c>
      <c r="L51" s="27">
        <f>IFERROR('Data Sheet'!K61,0)</f>
        <v>158649</v>
      </c>
      <c r="M51" s="14"/>
    </row>
    <row r="53" spans="2:13" x14ac:dyDescent="0.3">
      <c r="B53" t="s">
        <v>83</v>
      </c>
      <c r="C53" s="15">
        <f>IFERROR('Data Sheet'!B62,0)</f>
        <v>11774</v>
      </c>
      <c r="D53" s="15">
        <f>IFERROR('Data Sheet'!C62,0)</f>
        <v>11701</v>
      </c>
      <c r="E53" s="15">
        <f>IFERROR('Data Sheet'!D62,0)</f>
        <v>11973</v>
      </c>
      <c r="F53" s="15">
        <f>IFERROR('Data Sheet'!E62,0)</f>
        <v>12290</v>
      </c>
      <c r="G53" s="15">
        <f>IFERROR('Data Sheet'!F62,0)</f>
        <v>20928</v>
      </c>
      <c r="H53" s="15">
        <f>IFERROR('Data Sheet'!G62,0)</f>
        <v>21021</v>
      </c>
      <c r="I53" s="15">
        <f>IFERROR('Data Sheet'!H62,0)</f>
        <v>21298</v>
      </c>
      <c r="J53" s="15">
        <f>IFERROR('Data Sheet'!I62,0)</f>
        <v>20515</v>
      </c>
      <c r="K53" s="15">
        <f>IFERROR('Data Sheet'!J62,0)</f>
        <v>19604</v>
      </c>
      <c r="L53" s="15">
        <f>IFERROR('Data Sheet'!K62,0)</f>
        <v>23053</v>
      </c>
    </row>
    <row r="54" spans="2:13" x14ac:dyDescent="0.3">
      <c r="B54" t="s">
        <v>39</v>
      </c>
      <c r="C54" s="15">
        <f>IFERROR('Data Sheet'!B63,0)</f>
        <v>1670</v>
      </c>
      <c r="D54" s="15">
        <f>IFERROR('Data Sheet'!C63,0)</f>
        <v>1541</v>
      </c>
      <c r="E54" s="15">
        <f>IFERROR('Data Sheet'!D63,0)</f>
        <v>1278</v>
      </c>
      <c r="F54" s="15">
        <f>IFERROR('Data Sheet'!E63,0)</f>
        <v>963</v>
      </c>
      <c r="G54" s="15">
        <f>IFERROR('Data Sheet'!F63,0)</f>
        <v>906</v>
      </c>
      <c r="H54" s="15">
        <f>IFERROR('Data Sheet'!G63,0)</f>
        <v>926</v>
      </c>
      <c r="I54" s="15">
        <f>IFERROR('Data Sheet'!H63,0)</f>
        <v>1205</v>
      </c>
      <c r="J54" s="15">
        <f>IFERROR('Data Sheet'!I63,0)</f>
        <v>1234</v>
      </c>
      <c r="K54" s="15">
        <f>IFERROR('Data Sheet'!J63,0)</f>
        <v>1564</v>
      </c>
      <c r="L54" s="15">
        <f>IFERROR('Data Sheet'!K63,0)</f>
        <v>1546</v>
      </c>
    </row>
    <row r="55" spans="2:13" x14ac:dyDescent="0.3">
      <c r="B55" t="s">
        <v>40</v>
      </c>
      <c r="C55" s="15">
        <f>IFERROR('Data Sheet'!B64,0)</f>
        <v>22822</v>
      </c>
      <c r="D55" s="15">
        <f>IFERROR('Data Sheet'!C64,0)</f>
        <v>41980</v>
      </c>
      <c r="E55" s="15">
        <f>IFERROR('Data Sheet'!D64,0)</f>
        <v>36008</v>
      </c>
      <c r="F55" s="15">
        <f>IFERROR('Data Sheet'!E64,0)</f>
        <v>29330</v>
      </c>
      <c r="G55" s="15">
        <f>IFERROR('Data Sheet'!F64,0)</f>
        <v>26356</v>
      </c>
      <c r="H55" s="15">
        <f>IFERROR('Data Sheet'!G64,0)</f>
        <v>29373</v>
      </c>
      <c r="I55" s="15">
        <f>IFERROR('Data Sheet'!H64,0)</f>
        <v>30485</v>
      </c>
      <c r="J55" s="15">
        <f>IFERROR('Data Sheet'!I64,0)</f>
        <v>37163</v>
      </c>
      <c r="K55" s="15">
        <f>IFERROR('Data Sheet'!J64,0)</f>
        <v>31762</v>
      </c>
      <c r="L55" s="15">
        <f>IFERROR('Data Sheet'!K64,0)</f>
        <v>30964</v>
      </c>
    </row>
    <row r="56" spans="2:13" x14ac:dyDescent="0.3">
      <c r="B56" t="s">
        <v>41</v>
      </c>
      <c r="C56" s="15">
        <f>IFERROR('Data Sheet'!B65-SUM('Data Sheet'!B67:B69),0)</f>
        <v>21148</v>
      </c>
      <c r="D56" s="15">
        <f>IFERROR('Data Sheet'!C65-SUM('Data Sheet'!C67:C69),0)</f>
        <v>20324</v>
      </c>
      <c r="E56" s="15">
        <f>IFERROR('Data Sheet'!D65-SUM('Data Sheet'!D67:D69),0)</f>
        <v>23737</v>
      </c>
      <c r="F56" s="15">
        <f>IFERROR('Data Sheet'!E65-SUM('Data Sheet'!E67:E69),0)</f>
        <v>31114</v>
      </c>
      <c r="G56" s="15">
        <f>IFERROR('Data Sheet'!F65-SUM('Data Sheet'!F67:F69),0)</f>
        <v>31734</v>
      </c>
      <c r="H56" s="15">
        <f>IFERROR('Data Sheet'!G65-SUM('Data Sheet'!G67:G69),0)</f>
        <v>39256</v>
      </c>
      <c r="I56" s="15">
        <f>IFERROR('Data Sheet'!H65-SUM('Data Sheet'!H67:H69),0)</f>
        <v>27885</v>
      </c>
      <c r="J56" s="15">
        <f>IFERROR('Data Sheet'!I65-SUM('Data Sheet'!I67:I69),0)</f>
        <v>22933</v>
      </c>
      <c r="K56" s="15">
        <f>IFERROR('Data Sheet'!J65-SUM('Data Sheet'!J67:J69),0)</f>
        <v>25651</v>
      </c>
      <c r="L56" s="15">
        <f>IFERROR('Data Sheet'!K65-SUM('Data Sheet'!K67:K69),0)</f>
        <v>28556</v>
      </c>
    </row>
    <row r="57" spans="2:13" x14ac:dyDescent="0.3">
      <c r="B57" s="14" t="s">
        <v>84</v>
      </c>
      <c r="C57" s="27">
        <f>SUM(C53:C56)</f>
        <v>57414</v>
      </c>
      <c r="D57" s="27">
        <f t="shared" ref="D57:L57" si="18">SUM(D53:D56)</f>
        <v>75546</v>
      </c>
      <c r="E57" s="27">
        <f t="shared" si="18"/>
        <v>72996</v>
      </c>
      <c r="F57" s="27">
        <f t="shared" si="18"/>
        <v>73697</v>
      </c>
      <c r="G57" s="27">
        <f t="shared" si="18"/>
        <v>79924</v>
      </c>
      <c r="H57" s="27">
        <f t="shared" si="18"/>
        <v>90576</v>
      </c>
      <c r="I57" s="27">
        <f t="shared" si="18"/>
        <v>80873</v>
      </c>
      <c r="J57" s="27">
        <f t="shared" si="18"/>
        <v>81845</v>
      </c>
      <c r="K57" s="27">
        <f t="shared" si="18"/>
        <v>78581</v>
      </c>
      <c r="L57" s="27">
        <f t="shared" si="18"/>
        <v>84119</v>
      </c>
    </row>
    <row r="58" spans="2:13" x14ac:dyDescent="0.3">
      <c r="B58" s="14"/>
    </row>
    <row r="59" spans="2:13" x14ac:dyDescent="0.3">
      <c r="B59" t="s">
        <v>42</v>
      </c>
      <c r="C59" s="15">
        <f>IFERROR('Data Sheet'!B67,0)</f>
        <v>24073</v>
      </c>
      <c r="D59" s="15">
        <f>IFERROR('Data Sheet'!C67,0)</f>
        <v>22617</v>
      </c>
      <c r="E59" s="15">
        <f>IFERROR('Data Sheet'!D67,0)</f>
        <v>24943</v>
      </c>
      <c r="F59" s="15">
        <f>IFERROR('Data Sheet'!E67,0)</f>
        <v>27346</v>
      </c>
      <c r="G59" s="15">
        <f>IFERROR('Data Sheet'!F67,0)</f>
        <v>30532</v>
      </c>
      <c r="H59" s="15">
        <f>IFERROR('Data Sheet'!G67,0)</f>
        <v>30079</v>
      </c>
      <c r="I59" s="15">
        <f>IFERROR('Data Sheet'!H67,0)</f>
        <v>41810</v>
      </c>
      <c r="J59" s="15">
        <f>IFERROR('Data Sheet'!I67,0)</f>
        <v>49954</v>
      </c>
      <c r="K59" s="15">
        <f>IFERROR('Data Sheet'!J67,0)</f>
        <v>53577</v>
      </c>
      <c r="L59" s="15">
        <f>IFERROR('Data Sheet'!K67,0)</f>
        <v>59046</v>
      </c>
    </row>
    <row r="60" spans="2:13" x14ac:dyDescent="0.3">
      <c r="B60" t="s">
        <v>43</v>
      </c>
      <c r="C60" s="15">
        <f>IFERROR('Data Sheet'!B68,0)</f>
        <v>16</v>
      </c>
      <c r="D60" s="15">
        <f>IFERROR('Data Sheet'!C68,0)</f>
        <v>21</v>
      </c>
      <c r="E60" s="15">
        <f>IFERROR('Data Sheet'!D68,0)</f>
        <v>26</v>
      </c>
      <c r="F60" s="15">
        <f>IFERROR('Data Sheet'!E68,0)</f>
        <v>10</v>
      </c>
      <c r="G60" s="15">
        <f>IFERROR('Data Sheet'!F68,0)</f>
        <v>5</v>
      </c>
      <c r="H60" s="15">
        <f>IFERROR('Data Sheet'!G68,0)</f>
        <v>8</v>
      </c>
      <c r="I60" s="15">
        <f>IFERROR('Data Sheet'!H68,0)</f>
        <v>20</v>
      </c>
      <c r="J60" s="15">
        <f>IFERROR('Data Sheet'!I68,0)</f>
        <v>28</v>
      </c>
      <c r="K60" s="15">
        <f>IFERROR('Data Sheet'!J68,0)</f>
        <v>28</v>
      </c>
      <c r="L60" s="15">
        <f>IFERROR('Data Sheet'!K68,0)</f>
        <v>21</v>
      </c>
    </row>
    <row r="61" spans="2:13" x14ac:dyDescent="0.3">
      <c r="B61" t="s">
        <v>44</v>
      </c>
      <c r="C61" s="15">
        <f>IFERROR('Data Sheet'!B69,0)</f>
        <v>6788</v>
      </c>
      <c r="D61" s="15">
        <f>IFERROR('Data Sheet'!C69,0)</f>
        <v>4149</v>
      </c>
      <c r="E61" s="15">
        <f>IFERROR('Data Sheet'!D69,0)</f>
        <v>7161</v>
      </c>
      <c r="F61" s="15">
        <f>IFERROR('Data Sheet'!E69,0)</f>
        <v>12848</v>
      </c>
      <c r="G61" s="15">
        <f>IFERROR('Data Sheet'!F69,0)</f>
        <v>9666</v>
      </c>
      <c r="H61" s="15">
        <f>IFERROR('Data Sheet'!G69,0)</f>
        <v>9329</v>
      </c>
      <c r="I61" s="15">
        <f>IFERROR('Data Sheet'!H69,0)</f>
        <v>18221</v>
      </c>
      <c r="J61" s="15">
        <f>IFERROR('Data Sheet'!I69,0)</f>
        <v>11032</v>
      </c>
      <c r="K61" s="15">
        <f>IFERROR('Data Sheet'!J69,0)</f>
        <v>13286</v>
      </c>
      <c r="L61" s="15">
        <f>IFERROR('Data Sheet'!K69,0)</f>
        <v>15463</v>
      </c>
    </row>
    <row r="62" spans="2:13" x14ac:dyDescent="0.3">
      <c r="B62" s="14" t="s">
        <v>85</v>
      </c>
      <c r="C62" s="27">
        <f>IFERROR(SUM(C59:C61),0)</f>
        <v>30877</v>
      </c>
      <c r="D62" s="27">
        <f t="shared" ref="D62:L62" si="19">IFERROR(SUM(D59:D61),0)</f>
        <v>26787</v>
      </c>
      <c r="E62" s="27">
        <f t="shared" si="19"/>
        <v>32130</v>
      </c>
      <c r="F62" s="27">
        <f t="shared" si="19"/>
        <v>40204</v>
      </c>
      <c r="G62" s="27">
        <f t="shared" si="19"/>
        <v>40203</v>
      </c>
      <c r="H62" s="27">
        <f t="shared" si="19"/>
        <v>39416</v>
      </c>
      <c r="I62" s="27">
        <f t="shared" si="19"/>
        <v>60051</v>
      </c>
      <c r="J62" s="27">
        <f t="shared" si="19"/>
        <v>61014</v>
      </c>
      <c r="K62" s="27">
        <f t="shared" si="19"/>
        <v>66891</v>
      </c>
      <c r="L62" s="27">
        <f t="shared" si="19"/>
        <v>74530</v>
      </c>
    </row>
    <row r="64" spans="2:13" x14ac:dyDescent="0.3">
      <c r="B64" s="14" t="s">
        <v>86</v>
      </c>
      <c r="C64" s="27">
        <f>IFERROR(C62+C57,0)</f>
        <v>88291</v>
      </c>
      <c r="D64" s="27">
        <f t="shared" ref="D64:L64" si="20">IFERROR(D62+D57,0)</f>
        <v>102333</v>
      </c>
      <c r="E64" s="27">
        <f t="shared" si="20"/>
        <v>105126</v>
      </c>
      <c r="F64" s="27">
        <f t="shared" si="20"/>
        <v>113901</v>
      </c>
      <c r="G64" s="27">
        <f t="shared" si="20"/>
        <v>120127</v>
      </c>
      <c r="H64" s="27">
        <f t="shared" si="20"/>
        <v>129992</v>
      </c>
      <c r="I64" s="27">
        <f t="shared" si="20"/>
        <v>140924</v>
      </c>
      <c r="J64" s="27">
        <f t="shared" si="20"/>
        <v>142859</v>
      </c>
      <c r="K64" s="27">
        <f t="shared" si="20"/>
        <v>145472</v>
      </c>
      <c r="L64" s="27">
        <f t="shared" si="20"/>
        <v>158649</v>
      </c>
    </row>
    <row r="66" spans="1:13" x14ac:dyDescent="0.3">
      <c r="B66" s="17" t="s">
        <v>87</v>
      </c>
      <c r="C66" s="17" t="b">
        <f>C64=C51</f>
        <v>1</v>
      </c>
      <c r="D66" s="17" t="b">
        <f t="shared" ref="D66:L66" si="21">D64=D51</f>
        <v>1</v>
      </c>
      <c r="E66" s="17" t="b">
        <f t="shared" si="21"/>
        <v>1</v>
      </c>
      <c r="F66" s="17" t="b">
        <f t="shared" si="21"/>
        <v>1</v>
      </c>
      <c r="G66" s="17" t="b">
        <f t="shared" si="21"/>
        <v>1</v>
      </c>
      <c r="H66" s="17" t="b">
        <f t="shared" si="21"/>
        <v>1</v>
      </c>
      <c r="I66" s="17" t="b">
        <f t="shared" si="21"/>
        <v>1</v>
      </c>
      <c r="J66" s="17" t="b">
        <f t="shared" si="21"/>
        <v>1</v>
      </c>
      <c r="K66" s="17" t="b">
        <f t="shared" si="21"/>
        <v>1</v>
      </c>
      <c r="L66" s="17" t="b">
        <f t="shared" si="21"/>
        <v>1</v>
      </c>
    </row>
    <row r="68" spans="1:13" x14ac:dyDescent="0.3">
      <c r="A68" t="s">
        <v>59</v>
      </c>
      <c r="B68" s="25" t="s">
        <v>88</v>
      </c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</row>
    <row r="69" spans="1:13" x14ac:dyDescent="0.3">
      <c r="B69" s="14"/>
    </row>
    <row r="70" spans="1:13" x14ac:dyDescent="0.3">
      <c r="B70" t="s">
        <v>89</v>
      </c>
      <c r="C70" s="15">
        <f>'Data Sheet'!B82</f>
        <v>19109</v>
      </c>
      <c r="D70" s="15">
        <f>'Data Sheet'!C82</f>
        <v>25223</v>
      </c>
      <c r="E70" s="15">
        <f>'Data Sheet'!D82</f>
        <v>25067</v>
      </c>
      <c r="F70" s="15">
        <f>'Data Sheet'!E82</f>
        <v>28593</v>
      </c>
      <c r="G70" s="15">
        <f>'Data Sheet'!F82</f>
        <v>32369</v>
      </c>
      <c r="H70" s="15">
        <f>'Data Sheet'!G82</f>
        <v>38802</v>
      </c>
      <c r="I70" s="15">
        <f>'Data Sheet'!H82</f>
        <v>39949</v>
      </c>
      <c r="J70" s="15">
        <f>'Data Sheet'!I82</f>
        <v>41965</v>
      </c>
      <c r="K70" s="15">
        <f>'Data Sheet'!J82</f>
        <v>44338</v>
      </c>
      <c r="L70" s="15">
        <f>'Data Sheet'!K82</f>
        <v>48908</v>
      </c>
    </row>
    <row r="72" spans="1:13" x14ac:dyDescent="0.3">
      <c r="B72" t="s">
        <v>90</v>
      </c>
      <c r="C72" s="15">
        <f>'Data Sheet'!B83</f>
        <v>-5010</v>
      </c>
      <c r="D72" s="15">
        <f>'Data Sheet'!C83</f>
        <v>-16895</v>
      </c>
      <c r="E72" s="15">
        <f>'Data Sheet'!D83</f>
        <v>3104</v>
      </c>
      <c r="F72" s="15">
        <f>'Data Sheet'!E83</f>
        <v>1645</v>
      </c>
      <c r="G72" s="15">
        <f>'Data Sheet'!F83</f>
        <v>8968</v>
      </c>
      <c r="H72" s="15">
        <f>'Data Sheet'!G83</f>
        <v>-7956</v>
      </c>
      <c r="I72" s="15">
        <f>'Data Sheet'!H83</f>
        <v>-738</v>
      </c>
      <c r="J72" s="15">
        <f>'Data Sheet'!I83</f>
        <v>548</v>
      </c>
      <c r="K72" s="15">
        <f>'Data Sheet'!J83</f>
        <v>6091</v>
      </c>
      <c r="L72" s="15">
        <f>'Data Sheet'!K83</f>
        <v>-2144</v>
      </c>
    </row>
    <row r="74" spans="1:13" x14ac:dyDescent="0.3">
      <c r="B74" t="s">
        <v>91</v>
      </c>
      <c r="C74" s="15">
        <f>'Data Sheet'!B84</f>
        <v>-9666</v>
      </c>
      <c r="D74" s="15">
        <f>'Data Sheet'!C84</f>
        <v>-11026</v>
      </c>
      <c r="E74" s="15">
        <f>'Data Sheet'!D84</f>
        <v>-26885</v>
      </c>
      <c r="F74" s="15">
        <f>'Data Sheet'!E84</f>
        <v>-27897</v>
      </c>
      <c r="G74" s="15">
        <f>'Data Sheet'!F84</f>
        <v>-39915</v>
      </c>
      <c r="H74" s="15">
        <f>'Data Sheet'!G84</f>
        <v>-32634</v>
      </c>
      <c r="I74" s="15">
        <f>'Data Sheet'!H84</f>
        <v>-33581</v>
      </c>
      <c r="J74" s="15">
        <f>'Data Sheet'!I84</f>
        <v>-47878</v>
      </c>
      <c r="K74" s="15">
        <f>'Data Sheet'!J84</f>
        <v>-48536</v>
      </c>
      <c r="L74" s="15">
        <f>'Data Sheet'!K84</f>
        <v>-47438</v>
      </c>
    </row>
    <row r="76" spans="1:13" x14ac:dyDescent="0.3">
      <c r="B76" s="14" t="s">
        <v>52</v>
      </c>
      <c r="C76" s="27">
        <f t="shared" ref="C76:L76" si="22">IFERROR(C70+C72+C74,0)</f>
        <v>4433</v>
      </c>
      <c r="D76" s="27">
        <f t="shared" si="22"/>
        <v>-2698</v>
      </c>
      <c r="E76" s="27">
        <f t="shared" si="22"/>
        <v>1286</v>
      </c>
      <c r="F76" s="27">
        <f t="shared" si="22"/>
        <v>2341</v>
      </c>
      <c r="G76" s="27">
        <f t="shared" si="22"/>
        <v>1422</v>
      </c>
      <c r="H76" s="27">
        <f t="shared" si="22"/>
        <v>-1788</v>
      </c>
      <c r="I76" s="27">
        <f t="shared" si="22"/>
        <v>5630</v>
      </c>
      <c r="J76" s="27">
        <f t="shared" si="22"/>
        <v>-5365</v>
      </c>
      <c r="K76" s="27">
        <f t="shared" si="22"/>
        <v>1893</v>
      </c>
      <c r="L76" s="27">
        <f t="shared" si="22"/>
        <v>-674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6 M9 C15:L15 M21 M24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AEA1-5D41-4A5E-A271-90D04BCE43C2}">
  <dimension ref="A1:M30"/>
  <sheetViews>
    <sheetView showGridLines="0" tabSelected="1" workbookViewId="0">
      <selection activeCell="N15" sqref="N15"/>
    </sheetView>
  </sheetViews>
  <sheetFormatPr defaultRowHeight="14.4" x14ac:dyDescent="0.3"/>
  <cols>
    <col min="1" max="1" width="1.88671875" customWidth="1"/>
    <col min="2" max="2" width="25.33203125" customWidth="1"/>
    <col min="3" max="3" width="16.109375" bestFit="1" customWidth="1"/>
    <col min="4" max="12" width="10.33203125" bestFit="1" customWidth="1"/>
  </cols>
  <sheetData>
    <row r="1" spans="1:13" x14ac:dyDescent="0.3">
      <c r="A1" t="s">
        <v>127</v>
      </c>
    </row>
    <row r="2" spans="1:13" x14ac:dyDescent="0.3">
      <c r="B2" s="50"/>
      <c r="C2" s="51"/>
      <c r="D2" s="51"/>
      <c r="E2" s="51"/>
      <c r="F2" s="49"/>
      <c r="G2" s="49"/>
      <c r="H2" s="51"/>
      <c r="I2" s="51"/>
      <c r="J2" s="51"/>
      <c r="K2" s="51"/>
      <c r="L2" s="51"/>
    </row>
    <row r="3" spans="1:13" x14ac:dyDescent="0.3">
      <c r="B3" s="53" t="s">
        <v>128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2"/>
    </row>
    <row r="4" spans="1:13" x14ac:dyDescent="0.3">
      <c r="B4" s="53" t="s">
        <v>56</v>
      </c>
      <c r="C4" s="53">
        <v>42460</v>
      </c>
      <c r="D4" s="53">
        <v>42825</v>
      </c>
      <c r="E4" s="53">
        <v>43190</v>
      </c>
      <c r="F4" s="53">
        <v>43555</v>
      </c>
      <c r="G4" s="53">
        <v>43921</v>
      </c>
      <c r="H4" s="53">
        <v>44286</v>
      </c>
      <c r="I4" s="53">
        <v>44651</v>
      </c>
      <c r="J4" s="53">
        <v>45016</v>
      </c>
      <c r="K4" s="53">
        <v>45382</v>
      </c>
      <c r="L4" s="53">
        <v>45747</v>
      </c>
      <c r="M4" s="52"/>
    </row>
    <row r="6" spans="1:13" x14ac:dyDescent="0.3">
      <c r="B6" t="s">
        <v>97</v>
      </c>
      <c r="C6" s="16" t="str">
        <f>HistoricalFS!C7</f>
        <v>-</v>
      </c>
      <c r="D6" s="16">
        <f>HistoricalFS!D7</f>
        <v>8.578318575925481E-2</v>
      </c>
      <c r="E6" s="16">
        <f>HistoricalFS!E7</f>
        <v>4.3554922604818413E-2</v>
      </c>
      <c r="F6" s="16">
        <f>HistoricalFS!F7</f>
        <v>0.18975012997140639</v>
      </c>
      <c r="G6" s="16">
        <f>HistoricalFS!G7</f>
        <v>7.1594873790650215E-2</v>
      </c>
      <c r="H6" s="16">
        <f>HistoricalFS!H7</f>
        <v>4.6053176509566862E-2</v>
      </c>
      <c r="I6" s="16">
        <f>HistoricalFS!I7</f>
        <v>0.1679711530847805</v>
      </c>
      <c r="J6" s="16">
        <f>HistoricalFS!J7</f>
        <v>0.17576686796624852</v>
      </c>
      <c r="K6" s="16">
        <f>HistoricalFS!K7</f>
        <v>6.8460644554639849E-2</v>
      </c>
      <c r="L6" s="16">
        <f>HistoricalFS!L7</f>
        <v>5.9906265437351891E-2</v>
      </c>
    </row>
    <row r="7" spans="1:13" x14ac:dyDescent="0.3">
      <c r="B7" t="s">
        <v>96</v>
      </c>
      <c r="C7" s="54">
        <f>HistoricalFS!C13</f>
        <v>0.46690168068773819</v>
      </c>
      <c r="D7" s="54">
        <f>HistoricalFS!D13</f>
        <v>0.45383415560415713</v>
      </c>
      <c r="E7" s="54">
        <f>HistoricalFS!E13</f>
        <v>0.4387184819339745</v>
      </c>
      <c r="F7" s="54">
        <f>HistoricalFS!F13</f>
        <v>0.45026388917337484</v>
      </c>
      <c r="G7" s="54">
        <f>HistoricalFS!G13</f>
        <v>0.4402194343385431</v>
      </c>
      <c r="H7" s="54">
        <f>HistoricalFS!H13</f>
        <v>0.43185708107713017</v>
      </c>
      <c r="I7" s="54">
        <f>HistoricalFS!I13</f>
        <v>0.43303920648330674</v>
      </c>
      <c r="J7" s="54">
        <f>HistoricalFS!J13</f>
        <v>0.42604387513417136</v>
      </c>
      <c r="K7" s="54">
        <f>HistoricalFS!K13</f>
        <v>0.40291747788437188</v>
      </c>
      <c r="L7" s="54">
        <f>HistoricalFS!L13</f>
        <v>0.38338738230640285</v>
      </c>
    </row>
    <row r="8" spans="1:13" x14ac:dyDescent="0.3">
      <c r="B8" t="s">
        <v>103</v>
      </c>
      <c r="C8" s="54">
        <f>HistoricalFS!D18/HistoricalFS!C18-1</f>
        <v>5.3264660820810272E-2</v>
      </c>
      <c r="D8" s="54">
        <f>HistoricalFS!E18/HistoricalFS!D18-1</f>
        <v>6.3445885302217953E-3</v>
      </c>
      <c r="E8" s="54">
        <f>HistoricalFS!F18/HistoricalFS!E18-1</f>
        <v>0.21497109115512369</v>
      </c>
      <c r="F8" s="54">
        <f>HistoricalFS!G18/HistoricalFS!F18-1</f>
        <v>6.5888725763175282E-2</v>
      </c>
      <c r="G8" s="54">
        <f>HistoricalFS!H18/HistoricalFS!G18-1</f>
        <v>0.10536939846588611</v>
      </c>
      <c r="H8" s="54">
        <f>HistoricalFS!I18/HistoricalFS!H18-1</f>
        <v>0.13988312636961275</v>
      </c>
      <c r="I8" s="54">
        <f>HistoricalFS!J18/HistoricalFS!I18-1</f>
        <v>0.11689315264715305</v>
      </c>
      <c r="J8" s="54">
        <f>HistoricalFS!K18/HistoricalFS!J18-1</f>
        <v>8.4999746873892557E-2</v>
      </c>
      <c r="K8" s="54">
        <f>HistoricalFS!L18/HistoricalFS!K18-1</f>
        <v>4.8385591638671066E-2</v>
      </c>
      <c r="L8" s="54">
        <f>HistoricalFS!M18/HistoricalFS!L18-1</f>
        <v>7.2321865681605813E-2</v>
      </c>
    </row>
    <row r="9" spans="1:13" x14ac:dyDescent="0.3">
      <c r="B9" t="s">
        <v>98</v>
      </c>
      <c r="C9" s="54">
        <f>HistoricalFS!D27/HistoricalFS!C27-1</f>
        <v>5.3414939490888935E-2</v>
      </c>
      <c r="D9" s="54">
        <f>HistoricalFS!E27/HistoricalFS!D27-1</f>
        <v>5.2158985870855989E-3</v>
      </c>
      <c r="E9" s="54">
        <f>HistoricalFS!F27/HistoricalFS!E27-1</f>
        <v>0.22338259441707708</v>
      </c>
      <c r="F9" s="54">
        <f>HistoricalFS!G27/HistoricalFS!F27-1</f>
        <v>1.0845055299044448E-2</v>
      </c>
      <c r="G9" s="54">
        <f>HistoricalFS!H27/HistoricalFS!G27-1</f>
        <v>0.11121733588272775</v>
      </c>
      <c r="H9" s="54">
        <f>HistoricalFS!I27/HistoricalFS!H27-1</f>
        <v>0.13920753274065567</v>
      </c>
      <c r="I9" s="54">
        <f>HistoricalFS!J27/HistoricalFS!I27-1</f>
        <v>0.12144160775346657</v>
      </c>
      <c r="J9" s="54">
        <f>HistoricalFS!K27/HistoricalFS!J27-1</f>
        <v>9.4934340977963938E-2</v>
      </c>
      <c r="K9" s="54">
        <f>HistoricalFS!L27/HistoricalFS!K27-1</f>
        <v>4.8451300975518086E-2</v>
      </c>
      <c r="L9" s="54">
        <f>HistoricalFS!M27/HistoricalFS!L27-1</f>
        <v>7.3294334273004358E-2</v>
      </c>
    </row>
    <row r="10" spans="1:13" x14ac:dyDescent="0.3">
      <c r="B10" t="s">
        <v>102</v>
      </c>
      <c r="C10" s="54">
        <f>HistoricalFS!D33/HistoricalFS!C33-1</f>
        <v>4.1498070951350385E-2</v>
      </c>
      <c r="D10" s="54">
        <f>HistoricalFS!E33/HistoricalFS!D33-1</f>
        <v>4.6078785688470347E-3</v>
      </c>
      <c r="E10" s="54">
        <f>HistoricalFS!F33/HistoricalFS!E33-1</f>
        <v>0.22542494828671633</v>
      </c>
      <c r="F10" s="54">
        <f>HistoricalFS!G33/HistoricalFS!F33-1</f>
        <v>2.2164324244981826E-2</v>
      </c>
      <c r="G10" s="54">
        <f>HistoricalFS!H33/HistoricalFS!G33-1</f>
        <v>0.10019745108598088</v>
      </c>
      <c r="H10" s="54">
        <f>HistoricalFS!I33/HistoricalFS!H33-1</f>
        <v>0.12350714612021152</v>
      </c>
      <c r="I10" s="54">
        <f>HistoricalFS!J33/HistoricalFS!I33-1</f>
        <v>0.12845981818709884</v>
      </c>
      <c r="J10" s="54">
        <f>HistoricalFS!K33/HistoricalFS!J33-1</f>
        <v>9.7313017964688386E-2</v>
      </c>
      <c r="K10" s="54">
        <f>HistoricalFS!L33/HistoricalFS!K33-1</f>
        <v>5.1600797466869963E-2</v>
      </c>
      <c r="L10" s="54">
        <f>HistoricalFS!M33/HistoricalFS!L33-1</f>
        <v>0.10268763243002121</v>
      </c>
    </row>
    <row r="12" spans="1:13" x14ac:dyDescent="0.3">
      <c r="B12" t="s">
        <v>92</v>
      </c>
      <c r="C12" s="54">
        <f>HistoricalFS!C13</f>
        <v>0.46690168068773819</v>
      </c>
      <c r="D12" s="54">
        <f>HistoricalFS!D13</f>
        <v>0.45383415560415713</v>
      </c>
      <c r="E12" s="54">
        <f>HistoricalFS!E13</f>
        <v>0.4387184819339745</v>
      </c>
      <c r="F12" s="54">
        <f>HistoricalFS!F13</f>
        <v>0.45026388917337484</v>
      </c>
      <c r="G12" s="54">
        <f>HistoricalFS!G13</f>
        <v>0.4402194343385431</v>
      </c>
      <c r="H12" s="54">
        <f>HistoricalFS!H13</f>
        <v>0.43185708107713017</v>
      </c>
      <c r="I12" s="54">
        <f>HistoricalFS!I13</f>
        <v>0.43303920648330674</v>
      </c>
      <c r="J12" s="54">
        <f>HistoricalFS!J13</f>
        <v>0.42604387513417136</v>
      </c>
      <c r="K12" s="54">
        <f>HistoricalFS!K13</f>
        <v>0.40291747788437188</v>
      </c>
      <c r="L12" s="54">
        <f>HistoricalFS!L13</f>
        <v>0.38338738230640285</v>
      </c>
    </row>
    <row r="13" spans="1:13" x14ac:dyDescent="0.3">
      <c r="B13" t="s">
        <v>93</v>
      </c>
      <c r="C13" s="54">
        <f>HistoricalFS!C19</f>
        <v>0.28235738085157303</v>
      </c>
      <c r="D13" s="54">
        <f>HistoricalFS!D19</f>
        <v>0.27390095451231711</v>
      </c>
      <c r="E13" s="54">
        <f>HistoricalFS!E19</f>
        <v>0.26413439043410447</v>
      </c>
      <c r="F13" s="54">
        <f>HistoricalFS!F19</f>
        <v>0.26973365286795981</v>
      </c>
      <c r="G13" s="54">
        <f>HistoricalFS!G19</f>
        <v>0.26829734499741953</v>
      </c>
      <c r="H13" s="54">
        <f>HistoricalFS!H19</f>
        <v>0.28351108864213626</v>
      </c>
      <c r="I13" s="54">
        <f>HistoricalFS!I19</f>
        <v>0.27669305464292793</v>
      </c>
      <c r="J13" s="54">
        <f>HistoricalFS!J19</f>
        <v>0.26283831134845514</v>
      </c>
      <c r="K13" s="54">
        <f>HistoricalFS!K19</f>
        <v>0.26690688396923118</v>
      </c>
      <c r="L13" s="54">
        <f>HistoricalFS!L19</f>
        <v>0.26400573389105608</v>
      </c>
    </row>
    <row r="14" spans="1:13" x14ac:dyDescent="0.3">
      <c r="B14" t="s">
        <v>106</v>
      </c>
      <c r="C14" s="54">
        <f>HistoricalFS!C28</f>
        <v>0.26467610404432745</v>
      </c>
      <c r="D14" s="54">
        <f>HistoricalFS!D28</f>
        <v>0.25678585355102318</v>
      </c>
      <c r="E14" s="54">
        <f>HistoricalFS!E28</f>
        <v>0.24735183259682869</v>
      </c>
      <c r="F14" s="54">
        <f>HistoricalFS!F28</f>
        <v>0.25434410055782009</v>
      </c>
      <c r="G14" s="54">
        <f>HistoricalFS!G28</f>
        <v>0.23992507120147308</v>
      </c>
      <c r="H14" s="54">
        <f>HistoricalFS!H28</f>
        <v>0.25487126698624046</v>
      </c>
      <c r="I14" s="54">
        <f>HistoricalFS!I28</f>
        <v>0.24859455343825942</v>
      </c>
      <c r="J14" s="54">
        <f>HistoricalFS!J28</f>
        <v>0.23710846366063745</v>
      </c>
      <c r="K14" s="54">
        <f>HistoricalFS!K28</f>
        <v>0.24298339926855492</v>
      </c>
      <c r="L14" s="54">
        <f>HistoricalFS!L28</f>
        <v>0.24035734987701901</v>
      </c>
    </row>
    <row r="15" spans="1:13" x14ac:dyDescent="0.3">
      <c r="B15" t="s">
        <v>107</v>
      </c>
      <c r="C15" s="54">
        <f>HistoricalFS!C34</f>
        <v>0.19562616203081568</v>
      </c>
      <c r="D15" s="54">
        <f>HistoricalFS!D34</f>
        <v>0.18764728820168522</v>
      </c>
      <c r="E15" s="54">
        <f>HistoricalFS!E34</f>
        <v>0.18064400831817001</v>
      </c>
      <c r="F15" s="54">
        <f>HistoricalFS!F34</f>
        <v>0.18606064330240402</v>
      </c>
      <c r="G15" s="54">
        <f>HistoricalFS!G34</f>
        <v>0.17747803426590802</v>
      </c>
      <c r="H15" s="54">
        <f>HistoricalFS!H34</f>
        <v>0.1866643926981246</v>
      </c>
      <c r="I15" s="54">
        <f>HistoricalFS!I34</f>
        <v>0.17955818392315154</v>
      </c>
      <c r="J15" s="54">
        <f>HistoricalFS!J34</f>
        <v>0.17233364972633483</v>
      </c>
      <c r="K15" s="54">
        <f>HistoricalFS!K34</f>
        <v>0.17698729311354003</v>
      </c>
      <c r="L15" s="54">
        <f>HistoricalFS!L34</f>
        <v>0.17560041359214176</v>
      </c>
    </row>
    <row r="17" spans="2:12" x14ac:dyDescent="0.3">
      <c r="B17" t="s">
        <v>119</v>
      </c>
      <c r="C17" s="16">
        <f>(HistoricalFS!C18-HistoricalFS!C24)/(SUM('Data Sheet'!B57:B59))</f>
        <v>0.40367654275979081</v>
      </c>
      <c r="D17" s="16">
        <f>(HistoricalFS!D18-HistoricalFS!D24)/(SUM('Data Sheet'!C57:C59))</f>
        <v>0.35055431603528203</v>
      </c>
      <c r="E17" s="16">
        <f>(HistoricalFS!E18-HistoricalFS!E24)/(SUM('Data Sheet'!D57:D59))</f>
        <v>0.35727086383601758</v>
      </c>
      <c r="F17" s="16">
        <f>(HistoricalFS!F18-HistoricalFS!F24)/(SUM('Data Sheet'!E57:E59))</f>
        <v>0.41839835545426107</v>
      </c>
      <c r="G17" s="16">
        <f>(HistoricalFS!G18-HistoricalFS!G24)/(SUM('Data Sheet'!F57:F59))</f>
        <v>0.41798483206933912</v>
      </c>
      <c r="H17" s="16">
        <f>(HistoricalFS!H18-HistoricalFS!H24)/(SUM('Data Sheet'!G57:G59))</f>
        <v>0.4508320244513308</v>
      </c>
      <c r="I17" s="16">
        <f>(HistoricalFS!I18-HistoricalFS!I24)/(SUM('Data Sheet'!H57:H59))</f>
        <v>0.4997369968130202</v>
      </c>
      <c r="J17" s="16">
        <f>(HistoricalFS!J18-HistoricalFS!J24)/(SUM('Data Sheet'!I57:I59))</f>
        <v>0.55280699608610573</v>
      </c>
      <c r="K17" s="16">
        <f>(HistoricalFS!K18-HistoricalFS!K24)/(SUM('Data Sheet'!J57:J59))</f>
        <v>0.60208100700436507</v>
      </c>
      <c r="L17" s="16">
        <f>(HistoricalFS!L18-HistoricalFS!L24)/(SUM('Data Sheet'!K57:K59))</f>
        <v>0.59689096286054466</v>
      </c>
    </row>
    <row r="18" spans="2:12" x14ac:dyDescent="0.3">
      <c r="B18" t="s">
        <v>118</v>
      </c>
      <c r="C18" s="16">
        <f>HistoricalFS!C33/SUM('Data Sheet'!B57:B58)</f>
        <v>0.2990488518685277</v>
      </c>
      <c r="D18" s="16">
        <f>HistoricalFS!D33/SUM('Data Sheet'!C57:C58)</f>
        <v>0.25675644326907465</v>
      </c>
      <c r="E18" s="16">
        <f>HistoricalFS!E33/SUM('Data Sheet'!D57:D58)</f>
        <v>0.26123014754252422</v>
      </c>
      <c r="F18" s="16">
        <f>HistoricalFS!F33/SUM('Data Sheet'!E57:E58)</f>
        <v>0.30466426670840507</v>
      </c>
      <c r="G18" s="16">
        <f>HistoricalFS!G33/SUM('Data Sheet'!F57:F58)</f>
        <v>0.33111047714143071</v>
      </c>
      <c r="H18" s="16">
        <f>HistoricalFS!H33/SUM('Data Sheet'!G57:G58)</f>
        <v>0.35456365045757987</v>
      </c>
      <c r="I18" s="16">
        <f>HistoricalFS!I33/SUM('Data Sheet'!H57:H58)</f>
        <v>0.38626190556322149</v>
      </c>
      <c r="J18" s="16">
        <f>HistoricalFS!J33/SUM('Data Sheet'!I57:I58)</f>
        <v>0.42968680881181986</v>
      </c>
      <c r="K18" s="16">
        <f>HistoricalFS!K33/SUM('Data Sheet'!J57:J58)</f>
        <v>0.47116224071434099</v>
      </c>
      <c r="L18" s="16">
        <f>HistoricalFS!L33/SUM('Data Sheet'!K57:K58)</f>
        <v>0.47316264933091307</v>
      </c>
    </row>
    <row r="19" spans="2:12" x14ac:dyDescent="0.3">
      <c r="C19" s="16"/>
    </row>
    <row r="21" spans="2:12" x14ac:dyDescent="0.3">
      <c r="B21" t="s">
        <v>109</v>
      </c>
      <c r="C21" s="55">
        <f>HistoricalFS!C6/HistoricalFS!C59</f>
        <v>4.5131890499729987</v>
      </c>
      <c r="D21" s="55">
        <f>HistoricalFS!D6/HistoricalFS!D59</f>
        <v>5.2158111155325644</v>
      </c>
      <c r="E21" s="55">
        <f>HistoricalFS!E6/HistoricalFS!E59</f>
        <v>4.9354127410495927</v>
      </c>
      <c r="F21" s="55">
        <f>HistoricalFS!F6/HistoricalFS!F59</f>
        <v>5.3559204271191403</v>
      </c>
      <c r="G21" s="55">
        <f>HistoricalFS!G6/HistoricalFS!G59</f>
        <v>5.1404755666186297</v>
      </c>
      <c r="H21" s="55">
        <f>HistoricalFS!H6/HistoricalFS!H59</f>
        <v>5.4581934239835102</v>
      </c>
      <c r="I21" s="55">
        <f>HistoricalFS!I6/HistoricalFS!I59</f>
        <v>4.5863190624252574</v>
      </c>
      <c r="J21" s="55">
        <f>HistoricalFS!J6/HistoricalFS!J59</f>
        <v>4.5133122472674865</v>
      </c>
      <c r="K21" s="55">
        <f>HistoricalFS!K6/HistoricalFS!K59</f>
        <v>4.4962017283535847</v>
      </c>
      <c r="L21" s="55">
        <f>HistoricalFS!L6/HistoricalFS!L59</f>
        <v>4.3241540493852249</v>
      </c>
    </row>
    <row r="22" spans="2:12" x14ac:dyDescent="0.3">
      <c r="B22" t="s">
        <v>113</v>
      </c>
      <c r="C22" s="55">
        <f>HistoricalFS!C6/HistoricalFS!C50</f>
        <v>6.400730529044421</v>
      </c>
      <c r="D22" s="55">
        <f>HistoricalFS!D6/HistoricalFS!D50</f>
        <v>7.4520530638029054</v>
      </c>
      <c r="E22" s="55">
        <f>HistoricalFS!E6/HistoricalFS!E50</f>
        <v>6.2327983393245914</v>
      </c>
      <c r="F22" s="55">
        <f>HistoricalFS!F6/HistoricalFS!F50</f>
        <v>6.0043045135899646</v>
      </c>
      <c r="G22" s="55">
        <f>HistoricalFS!G6/HistoricalFS!G50</f>
        <v>5.6401696194343627</v>
      </c>
      <c r="H22" s="55">
        <f>HistoricalFS!H6/HistoricalFS!H50</f>
        <v>4.5905659322223462</v>
      </c>
      <c r="I22" s="55">
        <f>HistoricalFS!I6/HistoricalFS!I50</f>
        <v>4.3613164418768626</v>
      </c>
      <c r="J22" s="55">
        <f>HistoricalFS!J6/HistoricalFS!J50</f>
        <v>5.0385053746619883</v>
      </c>
      <c r="K22" s="55">
        <f>HistoricalFS!K6/HistoricalFS!K50</f>
        <v>5.129530258506878</v>
      </c>
      <c r="L22" s="55">
        <f>HistoricalFS!L6/HistoricalFS!L50</f>
        <v>4.6847580778334343</v>
      </c>
    </row>
    <row r="23" spans="2:12" x14ac:dyDescent="0.3">
      <c r="B23" t="s">
        <v>111</v>
      </c>
      <c r="C23" s="55">
        <f>HistoricalFS!C6/HistoricalFS!C53</f>
        <v>9.2276201800577535</v>
      </c>
      <c r="D23" s="55">
        <f>HistoricalFS!D6/HistoricalFS!D53</f>
        <v>10.0817024185967</v>
      </c>
      <c r="E23" s="55">
        <f>HistoricalFS!E6/HistoricalFS!E53</f>
        <v>10.281800718282803</v>
      </c>
      <c r="F23" s="55">
        <f>HistoricalFS!F6/HistoricalFS!F53</f>
        <v>11.917249796582588</v>
      </c>
      <c r="G23" s="55">
        <f>HistoricalFS!G6/HistoricalFS!G53</f>
        <v>7.4994743883792045</v>
      </c>
      <c r="H23" s="55">
        <f>HistoricalFS!H6/HistoricalFS!H53</f>
        <v>7.8101422387136674</v>
      </c>
      <c r="I23" s="55">
        <f>HistoricalFS!I6/HistoricalFS!I53</f>
        <v>9.0033805991172873</v>
      </c>
      <c r="J23" s="55">
        <f>HistoricalFS!J6/HistoricalFS!J53</f>
        <v>10.989909822081405</v>
      </c>
      <c r="K23" s="55">
        <f>HistoricalFS!K6/HistoricalFS!K53</f>
        <v>12.287951438481942</v>
      </c>
      <c r="L23" s="55">
        <f>HistoricalFS!L6/HistoricalFS!L53</f>
        <v>11.075521624083633</v>
      </c>
    </row>
    <row r="24" spans="2:12" x14ac:dyDescent="0.3">
      <c r="B24" t="s">
        <v>115</v>
      </c>
      <c r="C24" s="55">
        <f>HistoricalFS!C6/SUM(HistoricalFS!C47:C48)</f>
        <v>1.5286751463304817</v>
      </c>
      <c r="D24" s="55">
        <f>HistoricalFS!D6/SUM(HistoricalFS!D47:D48)</f>
        <v>1.3682928526689402</v>
      </c>
      <c r="E24" s="55">
        <f>HistoricalFS!E6/SUM(HistoricalFS!E47:E48)</f>
        <v>1.44610468940889</v>
      </c>
      <c r="F24" s="55">
        <f>HistoricalFS!F6/SUM(HistoricalFS!F47:F48)</f>
        <v>1.637446056838763</v>
      </c>
      <c r="G24" s="55">
        <f>HistoricalFS!G6/SUM(HistoricalFS!G47:G48)</f>
        <v>1.8656420131707201</v>
      </c>
      <c r="H24" s="55">
        <f>HistoricalFS!H6/SUM(HistoricalFS!H47:H48)</f>
        <v>1.8994712667615379</v>
      </c>
      <c r="I24" s="55">
        <f>HistoricalFS!I6/SUM(HistoricalFS!I47:I48)</f>
        <v>2.1511796183488707</v>
      </c>
      <c r="J24" s="55">
        <f>HistoricalFS!J6/SUM(HistoricalFS!J47:J48)</f>
        <v>2.4933424754489959</v>
      </c>
      <c r="K24" s="55">
        <f>HistoricalFS!K6/SUM(HistoricalFS!K47:K48)</f>
        <v>2.6621246781376744</v>
      </c>
      <c r="L24" s="55">
        <f>HistoricalFS!L6/SUM(HistoricalFS!L47:L48)</f>
        <v>2.6945417704419774</v>
      </c>
    </row>
    <row r="25" spans="2:12" x14ac:dyDescent="0.3">
      <c r="B25" t="s">
        <v>112</v>
      </c>
      <c r="C25" s="62">
        <f>'Data Sheet'!B60/'Data Sheet'!B42*100</f>
        <v>28.584900894225424</v>
      </c>
      <c r="D25" s="62">
        <f>'Data Sheet'!C67/'Data Sheet'!C17*365</f>
        <v>69.979527999593103</v>
      </c>
      <c r="E25" s="62">
        <f>'Data Sheet'!D67/'Data Sheet'!D17*365</f>
        <v>73.955314205874714</v>
      </c>
      <c r="F25" s="62">
        <f>'Data Sheet'!E67/'Data Sheet'!E17*365</f>
        <v>68.148884018489312</v>
      </c>
      <c r="G25" s="62">
        <f>'Data Sheet'!F67/'Data Sheet'!F17*365</f>
        <v>71.005103568675167</v>
      </c>
      <c r="H25" s="62">
        <f>'Data Sheet'!G67/'Data Sheet'!G17*365</f>
        <v>66.871943085815914</v>
      </c>
      <c r="I25" s="62">
        <f>'Data Sheet'!H67/'Data Sheet'!H17*365</f>
        <v>79.584519749262071</v>
      </c>
      <c r="J25" s="62">
        <f>'Data Sheet'!I67/'Data Sheet'!I17*365</f>
        <v>80.871869705222267</v>
      </c>
      <c r="K25" s="62">
        <f>'Data Sheet'!J67/'Data Sheet'!J17*365</f>
        <v>81.179631620678066</v>
      </c>
      <c r="L25" s="62">
        <f>'Data Sheet'!K67/'Data Sheet'!K17*365</f>
        <v>84.409573718099367</v>
      </c>
    </row>
    <row r="28" spans="2:12" x14ac:dyDescent="0.3">
      <c r="B28" t="s">
        <v>129</v>
      </c>
      <c r="C28" s="61">
        <f>SUM(HistoricalFS!C62)/HistoricalFS!C50</f>
        <v>1.8190762342406033</v>
      </c>
      <c r="D28" s="61">
        <f>SUM(HistoricalFS!D62)/HistoricalFS!D50</f>
        <v>1.6921667719519899</v>
      </c>
      <c r="E28" s="61">
        <f>SUM(HistoricalFS!E62)/HistoricalFS!E50</f>
        <v>1.6267530757936306</v>
      </c>
      <c r="F28" s="61">
        <f>SUM(HistoricalFS!F62)/HistoricalFS!F50</f>
        <v>1.6481777559135817</v>
      </c>
      <c r="G28" s="61">
        <f>SUM(HistoricalFS!G62)/HistoricalFS!G50</f>
        <v>1.4447479067093112</v>
      </c>
      <c r="H28" s="61">
        <f>SUM(HistoricalFS!H62)/HistoricalFS!H50</f>
        <v>1.1021138575103455</v>
      </c>
      <c r="I28" s="61">
        <f>SUM(HistoricalFS!I62)/HistoricalFS!I50</f>
        <v>1.365819819410012</v>
      </c>
      <c r="J28" s="61">
        <f>SUM(HistoricalFS!J62)/HistoricalFS!J50</f>
        <v>1.3635327507989363</v>
      </c>
      <c r="K28" s="61">
        <f>SUM(HistoricalFS!K62)/HistoricalFS!K50</f>
        <v>1.424364379711256</v>
      </c>
      <c r="L28" s="61">
        <f>SUM(HistoricalFS!L62)/HistoricalFS!L50</f>
        <v>1.3674978440762555</v>
      </c>
    </row>
    <row r="29" spans="2:12" x14ac:dyDescent="0.3">
      <c r="B29" t="s">
        <v>130</v>
      </c>
      <c r="C29" s="63">
        <f>SUM(HistoricalFS!C62-HistoricalFS!C60)/HistoricalFS!C50</f>
        <v>1.8181336161187698</v>
      </c>
      <c r="D29" s="63">
        <f>SUM(HistoricalFS!D62-HistoricalFS!D60)/HistoricalFS!D50</f>
        <v>1.6908401768793431</v>
      </c>
      <c r="E29" s="63">
        <f>SUM(HistoricalFS!E62-HistoricalFS!E60)/HistoricalFS!E50</f>
        <v>1.6254366867500381</v>
      </c>
      <c r="F29" s="63">
        <f>SUM(HistoricalFS!F62-HistoricalFS!F60)/HistoricalFS!F50</f>
        <v>1.6477678022383471</v>
      </c>
      <c r="G29" s="63">
        <f>SUM(HistoricalFS!G62-HistoricalFS!G60)/HistoricalFS!G50</f>
        <v>1.4445682251051137</v>
      </c>
      <c r="H29" s="63">
        <f>SUM(HistoricalFS!H62-HistoricalFS!H60)/HistoricalFS!H50</f>
        <v>1.1018901688849123</v>
      </c>
      <c r="I29" s="63">
        <f>SUM(HistoricalFS!I62-HistoricalFS!I60)/HistoricalFS!I50</f>
        <v>1.365364932790502</v>
      </c>
      <c r="J29" s="63">
        <f>SUM(HistoricalFS!J62-HistoricalFS!J60)/HistoricalFS!J50</f>
        <v>1.3629070105258454</v>
      </c>
      <c r="K29" s="63">
        <f>SUM(HistoricalFS!K62-HistoricalFS!K60)/HistoricalFS!K50</f>
        <v>1.4237681529747455</v>
      </c>
      <c r="L29" s="63">
        <f>SUM(HistoricalFS!L62-HistoricalFS!L60)/HistoricalFS!L50</f>
        <v>1.3671125300453202</v>
      </c>
    </row>
    <row r="30" spans="2:12" x14ac:dyDescent="0.3">
      <c r="B30" t="s">
        <v>131</v>
      </c>
      <c r="C30" s="63">
        <f>SUM(HistoricalFS!C49:C50)/(SUM('Data Sheet'!B57:B58))</f>
        <v>0.2422754389914453</v>
      </c>
      <c r="D30" s="63">
        <f>SUM(HistoricalFS!D49:D50)/(SUM('Data Sheet'!C57:C58))</f>
        <v>0.18696499408448744</v>
      </c>
      <c r="E30" s="63">
        <f>SUM(HistoricalFS!E49:E50)/(SUM('Data Sheet'!D57:D58))</f>
        <v>0.23491683112489428</v>
      </c>
      <c r="F30" s="63">
        <f>SUM(HistoricalFS!F49:F50)/(SUM('Data Sheet'!E57:E58))</f>
        <v>0.27340518301545064</v>
      </c>
      <c r="G30" s="63">
        <f>SUM(HistoricalFS!G49:G50)/(SUM('Data Sheet'!F57:F58))</f>
        <v>0.42794142120153106</v>
      </c>
      <c r="H30" s="63">
        <f>SUM(HistoricalFS!H49:H50)/(SUM('Data Sheet'!G57:G58))</f>
        <v>0.50396260687468908</v>
      </c>
      <c r="I30" s="63">
        <f>SUM(HistoricalFS!I49:I50)/(SUM('Data Sheet'!H57:H58))</f>
        <v>0.5809466114719708</v>
      </c>
      <c r="J30" s="63">
        <f>SUM(HistoricalFS!J49:J50)/(SUM('Data Sheet'!I57:I58))</f>
        <v>0.57987923560116783</v>
      </c>
      <c r="K30" s="63">
        <f>SUM(HistoricalFS!K49:K50)/(SUM('Data Sheet'!J57:J58))</f>
        <v>0.60762081578976446</v>
      </c>
      <c r="L30" s="63">
        <f>SUM(HistoricalFS!L49:L50)/(SUM('Data Sheet'!K57:K58))</f>
        <v>0.67428975473848618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6A92-5BEE-44C0-A538-7B068222B1E5}">
  <dimension ref="C2:O9"/>
  <sheetViews>
    <sheetView showGridLines="0" workbookViewId="0">
      <selection activeCell="E5" sqref="E5"/>
    </sheetView>
  </sheetViews>
  <sheetFormatPr defaultRowHeight="14.4" x14ac:dyDescent="0.3"/>
  <cols>
    <col min="1" max="1" width="1.88671875" customWidth="1"/>
    <col min="4" max="4" width="17.77734375" customWidth="1"/>
    <col min="5" max="5" width="18.109375" customWidth="1"/>
    <col min="6" max="6" width="12" customWidth="1"/>
    <col min="7" max="7" width="13.44140625" customWidth="1"/>
    <col min="11" max="11" width="12.88671875" customWidth="1"/>
    <col min="12" max="12" width="18.33203125" customWidth="1"/>
    <col min="13" max="13" width="14.6640625" customWidth="1"/>
  </cols>
  <sheetData>
    <row r="2" spans="3:15" x14ac:dyDescent="0.3">
      <c r="E2" s="64" t="s">
        <v>138</v>
      </c>
    </row>
    <row r="3" spans="3:15" x14ac:dyDescent="0.3">
      <c r="C3" s="66" t="s">
        <v>134</v>
      </c>
      <c r="D3" s="64"/>
      <c r="E3" s="65" t="s">
        <v>1</v>
      </c>
      <c r="F3" s="65"/>
      <c r="G3" s="65"/>
      <c r="H3" s="64"/>
      <c r="L3" s="69" t="s">
        <v>142</v>
      </c>
      <c r="M3" s="64"/>
    </row>
    <row r="4" spans="3:15" x14ac:dyDescent="0.3">
      <c r="C4" s="67"/>
      <c r="D4" s="64" t="s">
        <v>132</v>
      </c>
      <c r="E4" s="72" t="s">
        <v>133</v>
      </c>
      <c r="F4" s="73" t="s">
        <v>62</v>
      </c>
      <c r="G4" s="73" t="s">
        <v>73</v>
      </c>
      <c r="H4" s="73"/>
      <c r="K4" s="64" t="s">
        <v>132</v>
      </c>
      <c r="L4" s="72" t="s">
        <v>139</v>
      </c>
      <c r="M4" s="73" t="s">
        <v>140</v>
      </c>
      <c r="N4" s="73" t="s">
        <v>141</v>
      </c>
      <c r="O4" s="73"/>
    </row>
    <row r="5" spans="3:15" x14ac:dyDescent="0.3">
      <c r="D5" s="68" t="s">
        <v>135</v>
      </c>
      <c r="E5" s="70">
        <v>250000</v>
      </c>
      <c r="F5" s="70">
        <f>HistoricalFS!L9</f>
        <v>157436</v>
      </c>
      <c r="G5" s="70">
        <f>HistoricalFS!L33</f>
        <v>44835</v>
      </c>
      <c r="H5" s="71"/>
      <c r="K5" s="68" t="s">
        <v>135</v>
      </c>
      <c r="L5" s="74">
        <v>0.05</v>
      </c>
      <c r="M5" s="74">
        <v>0.12</v>
      </c>
      <c r="N5" s="74">
        <v>0.18</v>
      </c>
      <c r="O5" s="71"/>
    </row>
    <row r="6" spans="3:15" x14ac:dyDescent="0.3">
      <c r="D6" s="68"/>
      <c r="E6" s="68"/>
      <c r="F6" s="68"/>
      <c r="G6" s="68"/>
      <c r="H6" s="68"/>
      <c r="K6" s="68"/>
      <c r="L6" s="75"/>
      <c r="M6" s="75"/>
      <c r="N6" s="75"/>
      <c r="O6" s="68"/>
    </row>
    <row r="7" spans="3:15" x14ac:dyDescent="0.3">
      <c r="D7" s="68" t="s">
        <v>136</v>
      </c>
      <c r="E7" s="68">
        <v>500000</v>
      </c>
      <c r="F7" s="68"/>
      <c r="G7" s="68"/>
      <c r="H7" s="68"/>
      <c r="K7" s="68" t="s">
        <v>136</v>
      </c>
      <c r="L7" s="76">
        <v>0.1</v>
      </c>
      <c r="M7" s="76">
        <v>0.15</v>
      </c>
      <c r="N7" s="76">
        <v>0.25</v>
      </c>
      <c r="O7" s="68"/>
    </row>
    <row r="8" spans="3:15" x14ac:dyDescent="0.3">
      <c r="D8" s="68"/>
      <c r="E8" s="68"/>
      <c r="F8" s="68"/>
      <c r="G8" s="68"/>
      <c r="H8" s="68"/>
      <c r="K8" s="68"/>
      <c r="L8" s="75"/>
      <c r="M8" s="75"/>
      <c r="N8" s="75"/>
      <c r="O8" s="68"/>
    </row>
    <row r="9" spans="3:15" x14ac:dyDescent="0.3">
      <c r="D9" s="68" t="s">
        <v>137</v>
      </c>
      <c r="E9" s="68">
        <v>150000</v>
      </c>
      <c r="F9" s="68"/>
      <c r="G9" s="68"/>
      <c r="H9" s="68"/>
      <c r="K9" s="68" t="s">
        <v>137</v>
      </c>
      <c r="L9" s="76">
        <v>0.02</v>
      </c>
      <c r="M9" s="76">
        <v>0.05</v>
      </c>
      <c r="N9" s="76">
        <v>0.1</v>
      </c>
      <c r="O9" s="71"/>
    </row>
  </sheetData>
  <scenarios current="0" sqref="D15">
    <scenario name="Base" locked="1" count="1" user="veeresh vishwakarm" comment="Created by veeresh vishwakarm on 17-11-2025">
      <inputCells r="E5" val="250000" numFmtId="166"/>
    </scenario>
    <scenario name="Best" locked="1" count="1" user="veeresh vishwakarm" comment="Created by veeresh vishwakarm on 17-11-2025">
      <inputCells r="E5" val="500000" numFmtId="166"/>
    </scenario>
    <scenario name="worst" locked="1" count="1" user="veeresh vishwakarm" comment="Created by veeresh vishwakarm on 17-11-2025">
      <inputCells r="E5" val="150000" numFmtId="166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6A3E-607A-4B89-9EA6-EB9E218D7A02}">
  <dimension ref="B2:R18"/>
  <sheetViews>
    <sheetView showGridLines="0" zoomScale="91" workbookViewId="0">
      <selection activeCell="O3" sqref="O3"/>
    </sheetView>
  </sheetViews>
  <sheetFormatPr defaultRowHeight="14.4" x14ac:dyDescent="0.3"/>
  <cols>
    <col min="1" max="1" width="2.33203125" customWidth="1"/>
    <col min="2" max="2" width="11.6640625" customWidth="1"/>
    <col min="4" max="4" width="12.21875" customWidth="1"/>
    <col min="6" max="6" width="3.33203125" customWidth="1"/>
    <col min="7" max="9" width="2.33203125" customWidth="1"/>
    <col min="10" max="10" width="13.109375" customWidth="1"/>
    <col min="12" max="12" width="13.109375" customWidth="1"/>
    <col min="13" max="13" width="14" customWidth="1"/>
    <col min="15" max="15" width="14.33203125" customWidth="1"/>
    <col min="17" max="17" width="11.77734375" customWidth="1"/>
    <col min="18" max="18" width="13.5546875" customWidth="1"/>
  </cols>
  <sheetData>
    <row r="2" spans="2:18" x14ac:dyDescent="0.3">
      <c r="B2" s="57" t="str">
        <f>'Data Sheet'!B1&amp;" - "&amp;'Data Sheet'!A17&amp;" Forecast"</f>
        <v>TATA CONSULTANCY SERVICES LTD - Sales Forecast</v>
      </c>
      <c r="C2" s="57"/>
      <c r="D2" s="57"/>
      <c r="J2" s="57" t="str">
        <f>'Data Sheet'!B1&amp;" - "&amp;HistoricalFS!B18&amp;" Forecast"</f>
        <v>TATA CONSULTANCY SERVICES LTD - EBITDA Forecast</v>
      </c>
      <c r="K2" s="57"/>
      <c r="L2" s="57"/>
      <c r="O2" t="str">
        <f>'Data Sheet'!B1&amp;" - "&amp;HistoricalFS!B36&amp; "Forecast"</f>
        <v>TATA CONSULTANCY SERVICES LTD - No of Equity SharesForecast</v>
      </c>
    </row>
    <row r="3" spans="2:18" x14ac:dyDescent="0.3">
      <c r="B3" s="38" t="s">
        <v>126</v>
      </c>
      <c r="C3" s="38" t="s">
        <v>125</v>
      </c>
      <c r="D3" s="38" t="s">
        <v>12</v>
      </c>
      <c r="E3" s="41" t="s">
        <v>60</v>
      </c>
      <c r="F3" s="38"/>
      <c r="J3" s="38" t="s">
        <v>126</v>
      </c>
      <c r="K3" s="38" t="s">
        <v>125</v>
      </c>
      <c r="L3" s="38" t="s">
        <v>12</v>
      </c>
      <c r="M3" s="41" t="s">
        <v>60</v>
      </c>
      <c r="N3" s="40"/>
      <c r="O3" s="38" t="s">
        <v>126</v>
      </c>
      <c r="P3" s="38" t="s">
        <v>125</v>
      </c>
      <c r="Q3" s="38" t="s">
        <v>12</v>
      </c>
      <c r="R3" s="41" t="s">
        <v>60</v>
      </c>
    </row>
    <row r="4" spans="2:18" x14ac:dyDescent="0.3">
      <c r="B4">
        <v>1</v>
      </c>
      <c r="C4" s="39">
        <v>2013</v>
      </c>
      <c r="D4" s="42">
        <f t="array" ref="D4:D13">TRANSPOSE('Data Sheet'!B17:K17)</f>
        <v>108646</v>
      </c>
      <c r="J4">
        <v>1</v>
      </c>
      <c r="K4" s="39">
        <v>2013</v>
      </c>
      <c r="L4" s="42">
        <f t="array" ref="L4:L13">TRANSPOSE(HistoricalFS!C18:M18)</f>
        <v>30677</v>
      </c>
      <c r="O4">
        <v>1</v>
      </c>
      <c r="P4" s="39">
        <v>2013</v>
      </c>
      <c r="Q4" s="42">
        <f t="array" ref="Q4:Q13">TRANSPOSE(HistoricalFS!C38:M38)</f>
        <v>53.931842980029948</v>
      </c>
    </row>
    <row r="5" spans="2:18" x14ac:dyDescent="0.3">
      <c r="B5">
        <f>B4+1</f>
        <v>2</v>
      </c>
      <c r="C5" s="39">
        <f>C4+1</f>
        <v>2014</v>
      </c>
      <c r="D5" s="42">
        <v>117966</v>
      </c>
      <c r="E5" s="43">
        <f>D5/D4-1</f>
        <v>8.578318575925481E-2</v>
      </c>
      <c r="J5">
        <f>J4+1</f>
        <v>2</v>
      </c>
      <c r="K5" s="39">
        <f>K4+1</f>
        <v>2014</v>
      </c>
      <c r="L5" s="42">
        <v>32311</v>
      </c>
      <c r="M5" s="43">
        <f>L5/L4-1</f>
        <v>5.3264660820810272E-2</v>
      </c>
      <c r="O5">
        <f>O4+1</f>
        <v>2</v>
      </c>
      <c r="P5" s="39">
        <f>P4+1</f>
        <v>2014</v>
      </c>
      <c r="Q5" s="42">
        <v>56.169910426552313</v>
      </c>
      <c r="R5" s="43">
        <f>Q5/Q4-1</f>
        <v>4.1498070951350163E-2</v>
      </c>
    </row>
    <row r="6" spans="2:18" x14ac:dyDescent="0.3">
      <c r="B6">
        <f t="shared" ref="B6:B18" si="0">B5+1</f>
        <v>3</v>
      </c>
      <c r="C6" s="39">
        <f t="shared" ref="C6:C18" si="1">C5+1</f>
        <v>2015</v>
      </c>
      <c r="D6" s="42">
        <v>123104</v>
      </c>
      <c r="E6" s="43">
        <f t="shared" ref="E6:E18" si="2">D6/D5-1</f>
        <v>4.3554922604818413E-2</v>
      </c>
      <c r="J6">
        <f t="shared" ref="J6:J18" si="3">J5+1</f>
        <v>3</v>
      </c>
      <c r="K6" s="39">
        <f t="shared" ref="K6:K18" si="4">K5+1</f>
        <v>2015</v>
      </c>
      <c r="L6" s="42">
        <v>32516</v>
      </c>
      <c r="M6" s="43">
        <f t="shared" ref="M6:M18" si="5">L6/L5-1</f>
        <v>6.3445885302217953E-3</v>
      </c>
      <c r="O6">
        <f t="shared" ref="O6:O18" si="6">O5+1</f>
        <v>3</v>
      </c>
      <c r="P6" s="39">
        <f t="shared" ref="P6:P18" si="7">P5+1</f>
        <v>2015</v>
      </c>
      <c r="Q6" s="42">
        <v>58.083894896306745</v>
      </c>
      <c r="R6" s="43">
        <f t="shared" ref="R6:R18" si="8">Q6/Q5-1</f>
        <v>3.4074906924716375E-2</v>
      </c>
    </row>
    <row r="7" spans="2:18" x14ac:dyDescent="0.3">
      <c r="B7">
        <f t="shared" si="0"/>
        <v>4</v>
      </c>
      <c r="C7" s="39">
        <f t="shared" si="1"/>
        <v>2016</v>
      </c>
      <c r="D7" s="42">
        <v>146463</v>
      </c>
      <c r="E7" s="43">
        <f t="shared" si="2"/>
        <v>0.18975012997140639</v>
      </c>
      <c r="J7">
        <f t="shared" si="3"/>
        <v>4</v>
      </c>
      <c r="K7" s="39">
        <f t="shared" si="4"/>
        <v>2016</v>
      </c>
      <c r="L7" s="42">
        <v>39506</v>
      </c>
      <c r="M7" s="43">
        <f t="shared" si="5"/>
        <v>0.21497109115512369</v>
      </c>
      <c r="O7">
        <f t="shared" si="6"/>
        <v>4</v>
      </c>
      <c r="P7" s="39">
        <f t="shared" si="7"/>
        <v>2016</v>
      </c>
      <c r="Q7" s="42">
        <v>72.622854706321291</v>
      </c>
      <c r="R7" s="43">
        <f t="shared" si="8"/>
        <v>0.25030965702231178</v>
      </c>
    </row>
    <row r="8" spans="2:18" x14ac:dyDescent="0.3">
      <c r="B8">
        <f t="shared" si="0"/>
        <v>5</v>
      </c>
      <c r="C8" s="39">
        <f t="shared" si="1"/>
        <v>2017</v>
      </c>
      <c r="D8" s="42">
        <v>156949</v>
      </c>
      <c r="E8" s="43">
        <f t="shared" si="2"/>
        <v>7.1594873790650215E-2</v>
      </c>
      <c r="J8">
        <f t="shared" si="3"/>
        <v>5</v>
      </c>
      <c r="K8" s="39">
        <f t="shared" si="4"/>
        <v>2017</v>
      </c>
      <c r="L8" s="42">
        <v>42109</v>
      </c>
      <c r="M8" s="43">
        <f t="shared" si="5"/>
        <v>6.5888725763175282E-2</v>
      </c>
      <c r="O8">
        <f t="shared" si="6"/>
        <v>5</v>
      </c>
      <c r="P8" s="39">
        <f t="shared" si="7"/>
        <v>2017</v>
      </c>
      <c r="Q8" s="42">
        <v>74.232491205628392</v>
      </c>
      <c r="R8" s="43">
        <f t="shared" si="8"/>
        <v>2.2164324244981604E-2</v>
      </c>
    </row>
    <row r="9" spans="2:18" x14ac:dyDescent="0.3">
      <c r="B9">
        <f t="shared" si="0"/>
        <v>6</v>
      </c>
      <c r="C9" s="39">
        <f t="shared" si="1"/>
        <v>2018</v>
      </c>
      <c r="D9" s="42">
        <v>164177</v>
      </c>
      <c r="E9" s="43">
        <f t="shared" si="2"/>
        <v>4.6053176509566862E-2</v>
      </c>
      <c r="J9">
        <f t="shared" si="3"/>
        <v>6</v>
      </c>
      <c r="K9" s="39">
        <f t="shared" si="4"/>
        <v>2018</v>
      </c>
      <c r="L9" s="42">
        <v>46546</v>
      </c>
      <c r="M9" s="43">
        <f t="shared" si="5"/>
        <v>0.10536939846588611</v>
      </c>
      <c r="O9">
        <f t="shared" si="6"/>
        <v>6</v>
      </c>
      <c r="P9" s="39">
        <f t="shared" si="7"/>
        <v>2018</v>
      </c>
      <c r="Q9" s="42">
        <v>82.847179043551122</v>
      </c>
      <c r="R9" s="43">
        <f t="shared" si="8"/>
        <v>0.1160500974439822</v>
      </c>
    </row>
    <row r="10" spans="2:18" x14ac:dyDescent="0.3">
      <c r="B10">
        <f t="shared" si="0"/>
        <v>7</v>
      </c>
      <c r="C10" s="39">
        <f t="shared" si="1"/>
        <v>2019</v>
      </c>
      <c r="D10" s="42">
        <v>191754</v>
      </c>
      <c r="E10" s="43">
        <f t="shared" si="2"/>
        <v>0.1679711530847805</v>
      </c>
      <c r="J10">
        <f t="shared" si="3"/>
        <v>7</v>
      </c>
      <c r="K10" s="39">
        <f t="shared" si="4"/>
        <v>2019</v>
      </c>
      <c r="L10" s="42">
        <v>53057</v>
      </c>
      <c r="M10" s="43">
        <f t="shared" si="5"/>
        <v>0.13988312636961275</v>
      </c>
      <c r="O10">
        <f t="shared" si="6"/>
        <v>7</v>
      </c>
      <c r="P10" s="39">
        <f t="shared" si="7"/>
        <v>2019</v>
      </c>
      <c r="Q10" s="42">
        <v>94.096909076002291</v>
      </c>
      <c r="R10" s="43">
        <f t="shared" si="8"/>
        <v>0.13578893285596849</v>
      </c>
    </row>
    <row r="11" spans="2:18" x14ac:dyDescent="0.3">
      <c r="B11">
        <f t="shared" si="0"/>
        <v>8</v>
      </c>
      <c r="C11" s="39">
        <f t="shared" si="1"/>
        <v>2020</v>
      </c>
      <c r="D11" s="42">
        <v>225458</v>
      </c>
      <c r="E11" s="43">
        <f t="shared" si="2"/>
        <v>0.17576686796624852</v>
      </c>
      <c r="J11">
        <f t="shared" si="3"/>
        <v>8</v>
      </c>
      <c r="K11" s="39">
        <f t="shared" si="4"/>
        <v>2020</v>
      </c>
      <c r="L11" s="42">
        <v>59259</v>
      </c>
      <c r="M11" s="43">
        <f t="shared" si="5"/>
        <v>0.11689315264715305</v>
      </c>
      <c r="O11">
        <f t="shared" si="6"/>
        <v>8</v>
      </c>
      <c r="P11" s="39">
        <f t="shared" si="7"/>
        <v>2020</v>
      </c>
      <c r="Q11" s="42">
        <v>106.18458090787351</v>
      </c>
      <c r="R11" s="43">
        <f t="shared" si="8"/>
        <v>0.12845981818709884</v>
      </c>
    </row>
    <row r="12" spans="2:18" x14ac:dyDescent="0.3">
      <c r="B12">
        <f t="shared" si="0"/>
        <v>9</v>
      </c>
      <c r="C12" s="39">
        <f t="shared" si="1"/>
        <v>2021</v>
      </c>
      <c r="D12" s="42">
        <v>240893</v>
      </c>
      <c r="E12" s="43">
        <f t="shared" si="2"/>
        <v>6.8460644554639849E-2</v>
      </c>
      <c r="J12">
        <f t="shared" si="3"/>
        <v>9</v>
      </c>
      <c r="K12" s="39">
        <f t="shared" si="4"/>
        <v>2021</v>
      </c>
      <c r="L12" s="42">
        <v>64296</v>
      </c>
      <c r="M12" s="43">
        <f t="shared" si="5"/>
        <v>8.4999746873892557E-2</v>
      </c>
      <c r="O12">
        <f t="shared" si="6"/>
        <v>9</v>
      </c>
      <c r="P12" s="39">
        <f t="shared" si="7"/>
        <v>2021</v>
      </c>
      <c r="Q12" s="42">
        <v>117.8380918161466</v>
      </c>
      <c r="R12" s="43">
        <f t="shared" si="8"/>
        <v>0.10974767530875096</v>
      </c>
    </row>
    <row r="13" spans="2:18" x14ac:dyDescent="0.3">
      <c r="B13">
        <f t="shared" si="0"/>
        <v>10</v>
      </c>
      <c r="C13" s="39">
        <f t="shared" si="1"/>
        <v>2022</v>
      </c>
      <c r="D13" s="42">
        <v>255324</v>
      </c>
      <c r="E13" s="43">
        <f t="shared" si="2"/>
        <v>5.9906265437351891E-2</v>
      </c>
      <c r="J13">
        <f t="shared" si="3"/>
        <v>10</v>
      </c>
      <c r="K13" s="39">
        <f t="shared" si="4"/>
        <v>2022</v>
      </c>
      <c r="L13" s="42">
        <v>67407</v>
      </c>
      <c r="M13" s="43">
        <f t="shared" si="5"/>
        <v>4.8385591638671066E-2</v>
      </c>
      <c r="O13">
        <f t="shared" si="6"/>
        <v>10</v>
      </c>
      <c r="P13" s="39">
        <f t="shared" si="7"/>
        <v>2022</v>
      </c>
      <c r="Q13" s="42">
        <v>123.918631325834</v>
      </c>
      <c r="R13" s="43">
        <f t="shared" si="8"/>
        <v>5.1600797466869963E-2</v>
      </c>
    </row>
    <row r="14" spans="2:18" x14ac:dyDescent="0.3">
      <c r="B14" s="44">
        <f t="shared" si="0"/>
        <v>11</v>
      </c>
      <c r="C14" s="45">
        <f t="shared" si="1"/>
        <v>2023</v>
      </c>
      <c r="D14" s="46">
        <f>FORECAST(B14,$D$4:$D$13,$B$4:$B$13)</f>
        <v>267588.8</v>
      </c>
      <c r="E14" s="47">
        <f t="shared" si="2"/>
        <v>4.8036220645141015E-2</v>
      </c>
      <c r="J14" s="44">
        <f t="shared" si="3"/>
        <v>11</v>
      </c>
      <c r="K14" s="45">
        <f t="shared" si="4"/>
        <v>2023</v>
      </c>
      <c r="L14" s="46">
        <f>FORECAST(J14,$L$4:$L$13,$J$4:$J$13)</f>
        <v>71210.733333333337</v>
      </c>
      <c r="M14" s="47">
        <f t="shared" si="5"/>
        <v>5.6429352045534342E-2</v>
      </c>
      <c r="O14" s="44">
        <f t="shared" si="6"/>
        <v>11</v>
      </c>
      <c r="P14" s="45">
        <f t="shared" si="7"/>
        <v>2023</v>
      </c>
      <c r="Q14" s="46">
        <f>FORECAST(O14,$Q$4:$Q$13,$O$4:$O$13)</f>
        <v>129.8292601665645</v>
      </c>
      <c r="R14" s="47">
        <f t="shared" si="8"/>
        <v>4.7697660775392059E-2</v>
      </c>
    </row>
    <row r="15" spans="2:18" x14ac:dyDescent="0.3">
      <c r="B15" s="44">
        <f t="shared" si="0"/>
        <v>12</v>
      </c>
      <c r="C15" s="45">
        <f t="shared" si="1"/>
        <v>2024</v>
      </c>
      <c r="D15" s="46">
        <f t="shared" ref="D15:D18" si="9">FORECAST(B15,$D$4:$D$13,$B$4:$B$13)</f>
        <v>284773.41818181821</v>
      </c>
      <c r="E15" s="47">
        <f t="shared" si="2"/>
        <v>6.4220244576074226E-2</v>
      </c>
      <c r="J15" s="44">
        <f t="shared" si="3"/>
        <v>12</v>
      </c>
      <c r="K15" s="45">
        <f t="shared" si="4"/>
        <v>2024</v>
      </c>
      <c r="L15" s="46">
        <f t="shared" ref="L15:L18" si="10">FORECAST(J15,$L$4:$L$13,$J$4:$J$13)</f>
        <v>75654.793939393945</v>
      </c>
      <c r="M15" s="47">
        <f t="shared" si="5"/>
        <v>6.2407173722790032E-2</v>
      </c>
      <c r="O15" s="44">
        <f t="shared" si="6"/>
        <v>12</v>
      </c>
      <c r="P15" s="45">
        <f t="shared" si="7"/>
        <v>2024</v>
      </c>
      <c r="Q15" s="46">
        <f t="shared" ref="Q15:Q18" si="11">FORECAST(O15,$Q$4:$Q$13,$O$4:$O$13)</f>
        <v>138.16319135349897</v>
      </c>
      <c r="R15" s="47">
        <f t="shared" si="8"/>
        <v>6.4191470984602761E-2</v>
      </c>
    </row>
    <row r="16" spans="2:18" x14ac:dyDescent="0.3">
      <c r="B16" s="44">
        <f t="shared" si="0"/>
        <v>13</v>
      </c>
      <c r="C16" s="45">
        <f t="shared" si="1"/>
        <v>2025</v>
      </c>
      <c r="D16" s="46">
        <f t="shared" si="9"/>
        <v>301958.03636363638</v>
      </c>
      <c r="E16" s="47">
        <f t="shared" si="2"/>
        <v>6.0344881525586702E-2</v>
      </c>
      <c r="J16" s="44">
        <f t="shared" si="3"/>
        <v>13</v>
      </c>
      <c r="K16" s="45">
        <f t="shared" si="4"/>
        <v>2025</v>
      </c>
      <c r="L16" s="46">
        <f t="shared" si="10"/>
        <v>80098.854545454553</v>
      </c>
      <c r="M16" s="47">
        <f t="shared" si="5"/>
        <v>5.8741295490417844E-2</v>
      </c>
      <c r="O16" s="44">
        <f t="shared" si="6"/>
        <v>13</v>
      </c>
      <c r="P16" s="45">
        <f t="shared" si="7"/>
        <v>2025</v>
      </c>
      <c r="Q16" s="46">
        <f t="shared" si="11"/>
        <v>146.49712254043351</v>
      </c>
      <c r="R16" s="47">
        <f t="shared" si="8"/>
        <v>6.0319475145964585E-2</v>
      </c>
    </row>
    <row r="17" spans="2:18" x14ac:dyDescent="0.3">
      <c r="B17" s="44">
        <f t="shared" si="0"/>
        <v>14</v>
      </c>
      <c r="C17" s="45">
        <f t="shared" si="1"/>
        <v>2026</v>
      </c>
      <c r="D17" s="46">
        <f t="shared" si="9"/>
        <v>319142.65454545454</v>
      </c>
      <c r="E17" s="47">
        <f t="shared" si="2"/>
        <v>5.6910617080326409E-2</v>
      </c>
      <c r="J17" s="44">
        <f t="shared" si="3"/>
        <v>14</v>
      </c>
      <c r="K17" s="45">
        <f t="shared" si="4"/>
        <v>2026</v>
      </c>
      <c r="L17" s="46">
        <f t="shared" si="10"/>
        <v>84542.915151515146</v>
      </c>
      <c r="M17" s="47">
        <f t="shared" si="5"/>
        <v>5.5482199230934892E-2</v>
      </c>
      <c r="O17" s="44">
        <f t="shared" si="6"/>
        <v>14</v>
      </c>
      <c r="P17" s="45">
        <f t="shared" si="7"/>
        <v>2026</v>
      </c>
      <c r="Q17" s="46">
        <f t="shared" si="11"/>
        <v>154.83105372736804</v>
      </c>
      <c r="R17" s="47">
        <f t="shared" si="8"/>
        <v>5.6888019658094979E-2</v>
      </c>
    </row>
    <row r="18" spans="2:18" x14ac:dyDescent="0.3">
      <c r="B18" s="44">
        <f t="shared" si="0"/>
        <v>15</v>
      </c>
      <c r="C18" s="45">
        <f t="shared" si="1"/>
        <v>2027</v>
      </c>
      <c r="D18" s="46">
        <f t="shared" si="9"/>
        <v>336327.27272727271</v>
      </c>
      <c r="E18" s="47">
        <f t="shared" si="2"/>
        <v>5.3846196793386092E-2</v>
      </c>
      <c r="J18" s="44">
        <f t="shared" si="3"/>
        <v>15</v>
      </c>
      <c r="K18" s="45">
        <f t="shared" si="4"/>
        <v>2027</v>
      </c>
      <c r="L18" s="46">
        <f t="shared" si="10"/>
        <v>88986.975757575754</v>
      </c>
      <c r="M18" s="47">
        <f t="shared" si="5"/>
        <v>5.2565736562266707E-2</v>
      </c>
      <c r="O18" s="44">
        <f t="shared" si="6"/>
        <v>15</v>
      </c>
      <c r="P18" s="45">
        <f t="shared" si="7"/>
        <v>2027</v>
      </c>
      <c r="Q18" s="46">
        <f t="shared" si="11"/>
        <v>163.16498491430255</v>
      </c>
      <c r="R18" s="47">
        <f t="shared" si="8"/>
        <v>5.3825966989859753E-2</v>
      </c>
    </row>
  </sheetData>
  <mergeCells count="2">
    <mergeCell ref="B2:D2"/>
    <mergeCell ref="J2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261D-83CE-4C5B-8D6F-24F11CFFFE30}">
  <dimension ref="B2:M43"/>
  <sheetViews>
    <sheetView showGridLines="0" topLeftCell="A20" workbookViewId="0">
      <selection activeCell="E39" sqref="E39"/>
    </sheetView>
  </sheetViews>
  <sheetFormatPr defaultRowHeight="14.4" x14ac:dyDescent="0.3"/>
  <cols>
    <col min="1" max="1" width="1.88671875" customWidth="1"/>
  </cols>
  <sheetData>
    <row r="2" spans="2:13" x14ac:dyDescent="0.3">
      <c r="B2" s="56" t="str">
        <f>"Ratio Analysis of - "&amp;'Data Sheet'!B1</f>
        <v>Ratio Analysis of - TATA CONSULTANCY SERVICES LTD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2:13" x14ac:dyDescent="0.3">
      <c r="B3" s="11" t="s">
        <v>56</v>
      </c>
      <c r="C3" s="12">
        <f>'Data Sheet'!B16</f>
        <v>42460</v>
      </c>
      <c r="D3" s="12">
        <f>'Data Sheet'!C16</f>
        <v>42825</v>
      </c>
      <c r="E3" s="12">
        <f>'Data Sheet'!D16</f>
        <v>43190</v>
      </c>
      <c r="F3" s="12">
        <f>'Data Sheet'!E16</f>
        <v>43555</v>
      </c>
      <c r="G3" s="12">
        <f>'Data Sheet'!F16</f>
        <v>43921</v>
      </c>
      <c r="H3" s="12">
        <f>'Data Sheet'!G16</f>
        <v>44286</v>
      </c>
      <c r="I3" s="12">
        <f>'Data Sheet'!H16</f>
        <v>44651</v>
      </c>
      <c r="J3" s="12">
        <f>'Data Sheet'!I16</f>
        <v>45016</v>
      </c>
      <c r="K3" s="12">
        <f>'Data Sheet'!J16</f>
        <v>45382</v>
      </c>
      <c r="L3" s="12">
        <f>'Data Sheet'!K16</f>
        <v>45747</v>
      </c>
      <c r="M3" s="48" t="s">
        <v>57</v>
      </c>
    </row>
    <row r="5" spans="2:13" x14ac:dyDescent="0.3">
      <c r="B5" t="s">
        <v>97</v>
      </c>
    </row>
    <row r="6" spans="2:13" x14ac:dyDescent="0.3">
      <c r="B6" t="s">
        <v>96</v>
      </c>
    </row>
    <row r="7" spans="2:13" x14ac:dyDescent="0.3">
      <c r="B7" t="s">
        <v>103</v>
      </c>
    </row>
    <row r="8" spans="2:13" x14ac:dyDescent="0.3">
      <c r="B8" t="s">
        <v>98</v>
      </c>
    </row>
    <row r="9" spans="2:13" x14ac:dyDescent="0.3">
      <c r="B9" t="s">
        <v>102</v>
      </c>
    </row>
    <row r="10" spans="2:13" x14ac:dyDescent="0.3">
      <c r="B10" t="s">
        <v>101</v>
      </c>
    </row>
    <row r="12" spans="2:13" x14ac:dyDescent="0.3">
      <c r="B12" t="s">
        <v>92</v>
      </c>
    </row>
    <row r="13" spans="2:13" x14ac:dyDescent="0.3">
      <c r="B13" t="s">
        <v>104</v>
      </c>
    </row>
    <row r="14" spans="2:13" x14ac:dyDescent="0.3">
      <c r="B14" t="s">
        <v>93</v>
      </c>
    </row>
    <row r="15" spans="2:13" x14ac:dyDescent="0.3">
      <c r="B15" t="s">
        <v>105</v>
      </c>
    </row>
    <row r="16" spans="2:13" x14ac:dyDescent="0.3">
      <c r="B16" t="s">
        <v>106</v>
      </c>
    </row>
    <row r="17" spans="2:2" x14ac:dyDescent="0.3">
      <c r="B17" t="s">
        <v>107</v>
      </c>
    </row>
    <row r="19" spans="2:2" x14ac:dyDescent="0.3">
      <c r="B19" t="s">
        <v>95</v>
      </c>
    </row>
    <row r="20" spans="2:2" x14ac:dyDescent="0.3">
      <c r="B20" t="s">
        <v>69</v>
      </c>
    </row>
    <row r="21" spans="2:2" x14ac:dyDescent="0.3">
      <c r="B21" t="s">
        <v>94</v>
      </c>
    </row>
    <row r="23" spans="2:2" x14ac:dyDescent="0.3">
      <c r="B23" t="s">
        <v>119</v>
      </c>
    </row>
    <row r="24" spans="2:2" x14ac:dyDescent="0.3">
      <c r="B24" t="s">
        <v>100</v>
      </c>
    </row>
    <row r="25" spans="2:2" x14ac:dyDescent="0.3">
      <c r="B25" t="s">
        <v>118</v>
      </c>
    </row>
    <row r="26" spans="2:2" x14ac:dyDescent="0.3">
      <c r="B26" t="s">
        <v>99</v>
      </c>
    </row>
    <row r="27" spans="2:2" x14ac:dyDescent="0.3">
      <c r="B27" t="s">
        <v>108</v>
      </c>
    </row>
    <row r="29" spans="2:2" x14ac:dyDescent="0.3">
      <c r="B29" t="s">
        <v>109</v>
      </c>
    </row>
    <row r="30" spans="2:2" x14ac:dyDescent="0.3">
      <c r="B30" t="s">
        <v>113</v>
      </c>
    </row>
    <row r="31" spans="2:2" x14ac:dyDescent="0.3">
      <c r="B31" t="s">
        <v>110</v>
      </c>
    </row>
    <row r="32" spans="2:2" x14ac:dyDescent="0.3">
      <c r="B32" t="s">
        <v>111</v>
      </c>
    </row>
    <row r="33" spans="2:2" x14ac:dyDescent="0.3">
      <c r="B33" t="s">
        <v>115</v>
      </c>
    </row>
    <row r="36" spans="2:2" x14ac:dyDescent="0.3">
      <c r="B36" t="s">
        <v>112</v>
      </c>
    </row>
    <row r="37" spans="2:2" x14ac:dyDescent="0.3">
      <c r="B37" t="s">
        <v>114</v>
      </c>
    </row>
    <row r="38" spans="2:2" x14ac:dyDescent="0.3">
      <c r="B38" t="s">
        <v>116</v>
      </c>
    </row>
    <row r="39" spans="2:2" x14ac:dyDescent="0.3">
      <c r="B39" t="s">
        <v>117</v>
      </c>
    </row>
    <row r="41" spans="2:2" x14ac:dyDescent="0.3">
      <c r="B41" t="s">
        <v>121</v>
      </c>
    </row>
    <row r="42" spans="2:2" x14ac:dyDescent="0.3">
      <c r="B42" t="s">
        <v>122</v>
      </c>
    </row>
    <row r="43" spans="2:2" x14ac:dyDescent="0.3">
      <c r="B43" t="s">
        <v>123</v>
      </c>
    </row>
  </sheetData>
  <mergeCells count="1">
    <mergeCell ref="B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68F4-35F9-440F-B28A-35F728E0E20C}">
  <dimension ref="B2:O21"/>
  <sheetViews>
    <sheetView showGridLines="0" workbookViewId="0">
      <selection activeCell="B2" sqref="B2:E2"/>
    </sheetView>
  </sheetViews>
  <sheetFormatPr defaultRowHeight="14.4" x14ac:dyDescent="0.3"/>
  <cols>
    <col min="1" max="1" width="1.88671875" customWidth="1"/>
    <col min="2" max="2" width="12" bestFit="1" customWidth="1"/>
    <col min="3" max="3" width="10" bestFit="1" customWidth="1"/>
    <col min="4" max="4" width="11.6640625" customWidth="1"/>
    <col min="5" max="5" width="12.6640625" bestFit="1" customWidth="1"/>
    <col min="6" max="6" width="2.6640625" customWidth="1"/>
    <col min="7" max="7" width="12" bestFit="1" customWidth="1"/>
    <col min="8" max="8" width="6.33203125" bestFit="1" customWidth="1"/>
    <col min="9" max="9" width="9.6640625" bestFit="1" customWidth="1"/>
    <col min="10" max="10" width="12.6640625" bestFit="1" customWidth="1"/>
    <col min="11" max="11" width="2.6640625" customWidth="1"/>
    <col min="12" max="12" width="17.109375" customWidth="1"/>
    <col min="13" max="13" width="6.33203125" bestFit="1" customWidth="1"/>
    <col min="14" max="14" width="8.33203125" bestFit="1" customWidth="1"/>
    <col min="15" max="15" width="17.44140625" customWidth="1"/>
  </cols>
  <sheetData>
    <row r="2" spans="2:15" x14ac:dyDescent="0.3">
      <c r="B2" s="58" t="str">
        <f>'Data Sheet'!$B$1&amp;" - "&amp;'Data Sheet'!A17&amp;" Forecasting"</f>
        <v>TATA CONSULTANCY SERVICES LTD - Sales Forecasting</v>
      </c>
      <c r="C2" s="58"/>
      <c r="D2" s="58"/>
      <c r="E2" s="58"/>
      <c r="G2" s="58" t="str">
        <f>'Data Sheet'!$B$1&amp;" - "&amp;'Data Sheet'!A34&amp;" Forecasting"</f>
        <v>TATA CONSULTANCY SERVICES LTD - EBITDA Forecasting</v>
      </c>
      <c r="H2" s="58"/>
      <c r="I2" s="58"/>
      <c r="J2" s="58"/>
      <c r="L2" s="58" t="str">
        <f>'Data Sheet'!$B$1&amp;" - "&amp;HistoricalFS!B38&amp;" Forecasting"</f>
        <v>TATA CONSULTANCY SERVICES LTD - Earnings per Share Forecasting</v>
      </c>
      <c r="M2" s="58"/>
      <c r="N2" s="58"/>
      <c r="O2" s="58"/>
    </row>
    <row r="3" spans="2:15" x14ac:dyDescent="0.3">
      <c r="B3" s="29" t="s">
        <v>124</v>
      </c>
      <c r="C3" s="30" t="s">
        <v>125</v>
      </c>
      <c r="D3" s="30" t="s">
        <v>12</v>
      </c>
      <c r="E3" s="30" t="s">
        <v>60</v>
      </c>
      <c r="G3" s="29" t="s">
        <v>124</v>
      </c>
      <c r="H3" s="30" t="s">
        <v>125</v>
      </c>
      <c r="I3" s="30" t="s">
        <v>12</v>
      </c>
      <c r="J3" s="30" t="s">
        <v>60</v>
      </c>
      <c r="L3" s="29" t="s">
        <v>124</v>
      </c>
      <c r="M3" s="30" t="s">
        <v>125</v>
      </c>
      <c r="N3" s="30" t="s">
        <v>12</v>
      </c>
      <c r="O3" s="30" t="s">
        <v>60</v>
      </c>
    </row>
    <row r="4" spans="2:15" x14ac:dyDescent="0.3">
      <c r="B4" s="28">
        <v>1</v>
      </c>
      <c r="C4" s="31">
        <f>'Data Sheet'!$B$16</f>
        <v>42460</v>
      </c>
      <c r="D4" s="32">
        <f t="array" ref="D4:D13">TRANSPOSE('Data Sheet'!B17:K17)</f>
        <v>108646</v>
      </c>
      <c r="G4" s="28">
        <v>1</v>
      </c>
      <c r="H4" s="31">
        <f>'Data Sheet'!$B$16</f>
        <v>42460</v>
      </c>
      <c r="I4" s="32">
        <f t="array" ref="I4:I13">TRANSPOSE('Data Sheet'!B34:K34)</f>
        <v>33693</v>
      </c>
      <c r="L4" s="28">
        <v>1</v>
      </c>
      <c r="M4" s="31">
        <f>'Data Sheet'!$B$16</f>
        <v>42460</v>
      </c>
      <c r="N4" s="32">
        <f t="array" ref="N4:N13">TRANSPOSE(HistoricalFS!C38:L38)</f>
        <v>53.931842980029948</v>
      </c>
    </row>
    <row r="5" spans="2:15" x14ac:dyDescent="0.3">
      <c r="B5" s="28">
        <f>B4+1</f>
        <v>2</v>
      </c>
      <c r="C5" s="31">
        <f>C4+365</f>
        <v>42825</v>
      </c>
      <c r="D5" s="32">
        <v>117966</v>
      </c>
      <c r="E5" s="16">
        <f>D5/D4-1</f>
        <v>8.578318575925481E-2</v>
      </c>
      <c r="G5" s="28">
        <f>G4+1</f>
        <v>2</v>
      </c>
      <c r="H5" s="31">
        <f>H4+365</f>
        <v>42825</v>
      </c>
      <c r="I5" s="32">
        <v>36464</v>
      </c>
      <c r="J5" s="16">
        <f>I5/I4-1</f>
        <v>8.2242602320956815E-2</v>
      </c>
      <c r="L5" s="28">
        <f>L4+1</f>
        <v>2</v>
      </c>
      <c r="M5" s="31">
        <f>M4+365</f>
        <v>42825</v>
      </c>
      <c r="N5" s="32">
        <v>56.169910426552313</v>
      </c>
      <c r="O5" s="16">
        <f>N5/N4-1</f>
        <v>4.1498070951350163E-2</v>
      </c>
    </row>
    <row r="6" spans="2:15" x14ac:dyDescent="0.3">
      <c r="B6" s="28">
        <f t="shared" ref="B6:B18" si="0">B5+1</f>
        <v>3</v>
      </c>
      <c r="C6" s="31">
        <f t="shared" ref="C6:C18" si="1">C5+365</f>
        <v>43190</v>
      </c>
      <c r="D6" s="32">
        <v>123104</v>
      </c>
      <c r="E6" s="16">
        <f t="shared" ref="E6:E18" si="2">D6/D5-1</f>
        <v>4.3554922604818413E-2</v>
      </c>
      <c r="G6" s="28">
        <f t="shared" ref="G6:G18" si="3">G5+1</f>
        <v>3</v>
      </c>
      <c r="H6" s="31">
        <f t="shared" ref="H6:H18" si="4">H5+365</f>
        <v>43190</v>
      </c>
      <c r="I6" s="32">
        <v>36104</v>
      </c>
      <c r="J6" s="16">
        <f t="shared" ref="J6:J18" si="5">I6/I5-1</f>
        <v>-9.8727512066696388E-3</v>
      </c>
      <c r="L6" s="28">
        <f t="shared" ref="L6:L18" si="6">L5+1</f>
        <v>3</v>
      </c>
      <c r="M6" s="31">
        <f t="shared" ref="M6:M18" si="7">M5+365</f>
        <v>43190</v>
      </c>
      <c r="N6" s="32">
        <v>58.083894896306745</v>
      </c>
      <c r="O6" s="16">
        <f t="shared" ref="O6:O18" si="8">N6/N5-1</f>
        <v>3.4074906924716375E-2</v>
      </c>
    </row>
    <row r="7" spans="2:15" x14ac:dyDescent="0.3">
      <c r="B7" s="28">
        <f t="shared" si="0"/>
        <v>4</v>
      </c>
      <c r="C7" s="31">
        <f t="shared" si="1"/>
        <v>43555</v>
      </c>
      <c r="D7" s="32">
        <v>146463</v>
      </c>
      <c r="E7" s="16">
        <f t="shared" si="2"/>
        <v>0.18975012997140639</v>
      </c>
      <c r="G7" s="28">
        <f t="shared" si="3"/>
        <v>4</v>
      </c>
      <c r="H7" s="31">
        <f t="shared" si="4"/>
        <v>43555</v>
      </c>
      <c r="I7" s="32">
        <v>43727</v>
      </c>
      <c r="J7" s="16">
        <f t="shared" si="5"/>
        <v>0.21114003988477736</v>
      </c>
      <c r="L7" s="28">
        <f t="shared" si="6"/>
        <v>4</v>
      </c>
      <c r="M7" s="31">
        <f t="shared" si="7"/>
        <v>43555</v>
      </c>
      <c r="N7" s="32">
        <v>72.622854706321291</v>
      </c>
      <c r="O7" s="16">
        <f t="shared" si="8"/>
        <v>0.25030965702231178</v>
      </c>
    </row>
    <row r="8" spans="2:15" x14ac:dyDescent="0.3">
      <c r="B8" s="28">
        <f t="shared" si="0"/>
        <v>5</v>
      </c>
      <c r="C8" s="31">
        <f t="shared" si="1"/>
        <v>43920</v>
      </c>
      <c r="D8" s="32">
        <v>156949</v>
      </c>
      <c r="E8" s="16">
        <f t="shared" si="2"/>
        <v>7.1594873790650215E-2</v>
      </c>
      <c r="G8" s="28">
        <f t="shared" si="3"/>
        <v>5</v>
      </c>
      <c r="H8" s="31">
        <f t="shared" si="4"/>
        <v>43920</v>
      </c>
      <c r="I8" s="32">
        <v>46594</v>
      </c>
      <c r="J8" s="16">
        <f t="shared" si="5"/>
        <v>6.5565897500400316E-2</v>
      </c>
      <c r="L8" s="28">
        <f t="shared" si="6"/>
        <v>5</v>
      </c>
      <c r="M8" s="31">
        <f t="shared" si="7"/>
        <v>43920</v>
      </c>
      <c r="N8" s="32">
        <v>74.232491205628392</v>
      </c>
      <c r="O8" s="16">
        <f t="shared" si="8"/>
        <v>2.2164324244981604E-2</v>
      </c>
    </row>
    <row r="9" spans="2:15" x14ac:dyDescent="0.3">
      <c r="B9" s="28">
        <f t="shared" si="0"/>
        <v>6</v>
      </c>
      <c r="C9" s="31">
        <f t="shared" si="1"/>
        <v>44285</v>
      </c>
      <c r="D9" s="32">
        <v>164177</v>
      </c>
      <c r="E9" s="16">
        <f t="shared" si="2"/>
        <v>4.6053176509566862E-2</v>
      </c>
      <c r="G9" s="28">
        <f t="shared" si="3"/>
        <v>6</v>
      </c>
      <c r="H9" s="31">
        <f t="shared" si="4"/>
        <v>44285</v>
      </c>
      <c r="I9" s="32">
        <v>48330</v>
      </c>
      <c r="J9" s="16">
        <f t="shared" si="5"/>
        <v>3.7258016053569154E-2</v>
      </c>
      <c r="L9" s="28">
        <f t="shared" si="6"/>
        <v>6</v>
      </c>
      <c r="M9" s="31">
        <f t="shared" si="7"/>
        <v>44285</v>
      </c>
      <c r="N9" s="32">
        <v>82.847179043551122</v>
      </c>
      <c r="O9" s="16">
        <f t="shared" si="8"/>
        <v>0.1160500974439822</v>
      </c>
    </row>
    <row r="10" spans="2:15" x14ac:dyDescent="0.3">
      <c r="B10" s="28">
        <f t="shared" si="0"/>
        <v>7</v>
      </c>
      <c r="C10" s="31">
        <f t="shared" si="1"/>
        <v>44650</v>
      </c>
      <c r="D10" s="32">
        <v>191754</v>
      </c>
      <c r="E10" s="16">
        <f t="shared" si="2"/>
        <v>0.1679711530847805</v>
      </c>
      <c r="G10" s="28">
        <f t="shared" si="3"/>
        <v>7</v>
      </c>
      <c r="H10" s="31">
        <f t="shared" si="4"/>
        <v>44650</v>
      </c>
      <c r="I10" s="32">
        <v>56953</v>
      </c>
      <c r="J10" s="16">
        <f t="shared" si="5"/>
        <v>0.17841920132422917</v>
      </c>
      <c r="L10" s="28">
        <f t="shared" si="6"/>
        <v>7</v>
      </c>
      <c r="M10" s="31">
        <f t="shared" si="7"/>
        <v>44650</v>
      </c>
      <c r="N10" s="32">
        <v>94.096909076002291</v>
      </c>
      <c r="O10" s="16">
        <f t="shared" si="8"/>
        <v>0.13578893285596849</v>
      </c>
    </row>
    <row r="11" spans="2:15" x14ac:dyDescent="0.3">
      <c r="B11" s="28">
        <f t="shared" si="0"/>
        <v>8</v>
      </c>
      <c r="C11" s="31">
        <f t="shared" si="1"/>
        <v>45015</v>
      </c>
      <c r="D11" s="32">
        <v>225458</v>
      </c>
      <c r="E11" s="16">
        <f t="shared" si="2"/>
        <v>0.17576686796624852</v>
      </c>
      <c r="G11" s="28">
        <f t="shared" si="3"/>
        <v>8</v>
      </c>
      <c r="H11" s="31">
        <f t="shared" si="4"/>
        <v>45015</v>
      </c>
      <c r="I11" s="32">
        <v>62552</v>
      </c>
      <c r="J11" s="16">
        <f t="shared" si="5"/>
        <v>9.8309132091373597E-2</v>
      </c>
      <c r="L11" s="28">
        <f t="shared" si="6"/>
        <v>8</v>
      </c>
      <c r="M11" s="31">
        <f t="shared" si="7"/>
        <v>45015</v>
      </c>
      <c r="N11" s="32">
        <v>106.18458090787351</v>
      </c>
      <c r="O11" s="16">
        <f t="shared" si="8"/>
        <v>0.12845981818709884</v>
      </c>
    </row>
    <row r="12" spans="2:15" x14ac:dyDescent="0.3">
      <c r="B12" s="28">
        <f t="shared" si="0"/>
        <v>9</v>
      </c>
      <c r="C12" s="31">
        <f t="shared" si="1"/>
        <v>45380</v>
      </c>
      <c r="D12" s="32">
        <v>240893</v>
      </c>
      <c r="E12" s="16">
        <f t="shared" si="2"/>
        <v>6.8460644554639849E-2</v>
      </c>
      <c r="G12" s="28">
        <f t="shared" si="3"/>
        <v>9</v>
      </c>
      <c r="H12" s="31">
        <f t="shared" si="4"/>
        <v>45380</v>
      </c>
      <c r="I12" s="32">
        <v>67569</v>
      </c>
      <c r="J12" s="16">
        <f t="shared" si="5"/>
        <v>8.0205269216012232E-2</v>
      </c>
      <c r="L12" s="28">
        <f t="shared" si="6"/>
        <v>9</v>
      </c>
      <c r="M12" s="31">
        <f t="shared" si="7"/>
        <v>45380</v>
      </c>
      <c r="N12" s="32">
        <v>117.8380918161466</v>
      </c>
      <c r="O12" s="16">
        <f t="shared" si="8"/>
        <v>0.10974767530875096</v>
      </c>
    </row>
    <row r="13" spans="2:15" x14ac:dyDescent="0.3">
      <c r="B13" s="28">
        <f t="shared" si="0"/>
        <v>10</v>
      </c>
      <c r="C13" s="31">
        <f t="shared" si="1"/>
        <v>45745</v>
      </c>
      <c r="D13" s="32">
        <v>255324</v>
      </c>
      <c r="E13" s="16">
        <f t="shared" si="2"/>
        <v>5.9906265437351891E-2</v>
      </c>
      <c r="G13" s="28">
        <f t="shared" si="3"/>
        <v>10</v>
      </c>
      <c r="H13" s="31">
        <f t="shared" si="4"/>
        <v>45745</v>
      </c>
      <c r="I13" s="32">
        <v>71125</v>
      </c>
      <c r="J13" s="16">
        <f t="shared" si="5"/>
        <v>5.2627684293093058E-2</v>
      </c>
      <c r="L13" s="28">
        <f t="shared" si="6"/>
        <v>10</v>
      </c>
      <c r="M13" s="31">
        <f t="shared" si="7"/>
        <v>45745</v>
      </c>
      <c r="N13" s="32">
        <v>123.918631325834</v>
      </c>
      <c r="O13" s="16">
        <f t="shared" si="8"/>
        <v>5.1600797466869963E-2</v>
      </c>
    </row>
    <row r="14" spans="2:15" x14ac:dyDescent="0.3">
      <c r="B14" s="33">
        <f t="shared" si="0"/>
        <v>11</v>
      </c>
      <c r="C14" s="34">
        <f t="shared" si="1"/>
        <v>46110</v>
      </c>
      <c r="D14" s="35">
        <f>FORECAST(B14,$D$4:$D$13,$B$4:$B$13)</f>
        <v>267588.8</v>
      </c>
      <c r="E14" s="36">
        <f t="shared" si="2"/>
        <v>4.8036220645141015E-2</v>
      </c>
      <c r="G14" s="33">
        <f t="shared" si="3"/>
        <v>11</v>
      </c>
      <c r="H14" s="34">
        <f t="shared" si="4"/>
        <v>46110</v>
      </c>
      <c r="I14" s="35">
        <f>FORECAST(G14,$I$4:$I$13,$G$4:$G$13)</f>
        <v>74587</v>
      </c>
      <c r="J14" s="36">
        <f t="shared" si="5"/>
        <v>4.8674868189806597E-2</v>
      </c>
      <c r="L14" s="33">
        <f t="shared" si="6"/>
        <v>11</v>
      </c>
      <c r="M14" s="34">
        <f t="shared" si="7"/>
        <v>46110</v>
      </c>
      <c r="N14" s="35">
        <f>FORECAST(L14,$N$4:$N$13,$L$4:$L$13)</f>
        <v>129.8292601665645</v>
      </c>
      <c r="O14" s="36">
        <f t="shared" si="8"/>
        <v>4.7697660775392059E-2</v>
      </c>
    </row>
    <row r="15" spans="2:15" x14ac:dyDescent="0.3">
      <c r="B15" s="33">
        <f t="shared" si="0"/>
        <v>12</v>
      </c>
      <c r="C15" s="34">
        <f t="shared" si="1"/>
        <v>46475</v>
      </c>
      <c r="D15" s="35">
        <f t="shared" ref="D15:D18" si="9">FORECAST(B15,$D$4:$D$13,$B$4:$B$13)</f>
        <v>284773.41818181821</v>
      </c>
      <c r="E15" s="36">
        <f t="shared" si="2"/>
        <v>6.4220244576074226E-2</v>
      </c>
      <c r="G15" s="33">
        <f t="shared" si="3"/>
        <v>12</v>
      </c>
      <c r="H15" s="34">
        <f t="shared" si="4"/>
        <v>46475</v>
      </c>
      <c r="I15" s="35">
        <f t="shared" ref="I15:I18" si="10">FORECAST(G15,$I$4:$I$13,$G$4:$G$13)</f>
        <v>79000.800000000003</v>
      </c>
      <c r="J15" s="36">
        <f t="shared" si="5"/>
        <v>5.9176532103449642E-2</v>
      </c>
      <c r="L15" s="33">
        <f t="shared" si="6"/>
        <v>12</v>
      </c>
      <c r="M15" s="34">
        <f t="shared" si="7"/>
        <v>46475</v>
      </c>
      <c r="N15" s="35">
        <f t="shared" ref="N15:N18" si="11">FORECAST(L15,$N$4:$N$13,$L$4:$L$13)</f>
        <v>138.16319135349897</v>
      </c>
      <c r="O15" s="36">
        <f t="shared" si="8"/>
        <v>6.4191470984602761E-2</v>
      </c>
    </row>
    <row r="16" spans="2:15" x14ac:dyDescent="0.3">
      <c r="B16" s="33">
        <f t="shared" si="0"/>
        <v>13</v>
      </c>
      <c r="C16" s="34">
        <f t="shared" si="1"/>
        <v>46840</v>
      </c>
      <c r="D16" s="35">
        <f t="shared" si="9"/>
        <v>301958.03636363638</v>
      </c>
      <c r="E16" s="36">
        <f t="shared" si="2"/>
        <v>6.0344881525586702E-2</v>
      </c>
      <c r="G16" s="33">
        <f t="shared" si="3"/>
        <v>13</v>
      </c>
      <c r="H16" s="34">
        <f t="shared" si="4"/>
        <v>46840</v>
      </c>
      <c r="I16" s="35">
        <f t="shared" si="10"/>
        <v>83414.600000000006</v>
      </c>
      <c r="J16" s="36">
        <f t="shared" si="5"/>
        <v>5.5870320300553944E-2</v>
      </c>
      <c r="L16" s="33">
        <f t="shared" si="6"/>
        <v>13</v>
      </c>
      <c r="M16" s="34">
        <f t="shared" si="7"/>
        <v>46840</v>
      </c>
      <c r="N16" s="35">
        <f t="shared" si="11"/>
        <v>146.49712254043351</v>
      </c>
      <c r="O16" s="36">
        <f t="shared" si="8"/>
        <v>6.0319475145964585E-2</v>
      </c>
    </row>
    <row r="17" spans="2:15" x14ac:dyDescent="0.3">
      <c r="B17" s="33">
        <f t="shared" si="0"/>
        <v>14</v>
      </c>
      <c r="C17" s="34">
        <f t="shared" si="1"/>
        <v>47205</v>
      </c>
      <c r="D17" s="35">
        <f t="shared" si="9"/>
        <v>319142.65454545454</v>
      </c>
      <c r="E17" s="36">
        <f t="shared" si="2"/>
        <v>5.6910617080326409E-2</v>
      </c>
      <c r="G17" s="33">
        <f t="shared" si="3"/>
        <v>14</v>
      </c>
      <c r="H17" s="34">
        <f t="shared" si="4"/>
        <v>47205</v>
      </c>
      <c r="I17" s="35">
        <f t="shared" si="10"/>
        <v>87828.4</v>
      </c>
      <c r="J17" s="36">
        <f t="shared" si="5"/>
        <v>5.2913998268887985E-2</v>
      </c>
      <c r="L17" s="33">
        <f t="shared" si="6"/>
        <v>14</v>
      </c>
      <c r="M17" s="34">
        <f t="shared" si="7"/>
        <v>47205</v>
      </c>
      <c r="N17" s="35">
        <f t="shared" si="11"/>
        <v>154.83105372736804</v>
      </c>
      <c r="O17" s="36">
        <f t="shared" si="8"/>
        <v>5.6888019658094979E-2</v>
      </c>
    </row>
    <row r="18" spans="2:15" x14ac:dyDescent="0.3">
      <c r="B18" s="33">
        <f t="shared" si="0"/>
        <v>15</v>
      </c>
      <c r="C18" s="34">
        <f t="shared" si="1"/>
        <v>47570</v>
      </c>
      <c r="D18" s="35">
        <f t="shared" si="9"/>
        <v>336327.27272727271</v>
      </c>
      <c r="E18" s="36">
        <f t="shared" si="2"/>
        <v>5.3846196793386092E-2</v>
      </c>
      <c r="G18" s="33">
        <f t="shared" si="3"/>
        <v>15</v>
      </c>
      <c r="H18" s="34">
        <f t="shared" si="4"/>
        <v>47570</v>
      </c>
      <c r="I18" s="35">
        <f t="shared" si="10"/>
        <v>92242.2</v>
      </c>
      <c r="J18" s="36">
        <f t="shared" si="5"/>
        <v>5.0254815071206993E-2</v>
      </c>
      <c r="L18" s="33">
        <f t="shared" si="6"/>
        <v>15</v>
      </c>
      <c r="M18" s="34">
        <f t="shared" si="7"/>
        <v>47570</v>
      </c>
      <c r="N18" s="35">
        <f t="shared" si="11"/>
        <v>163.16498491430255</v>
      </c>
      <c r="O18" s="36">
        <f t="shared" si="8"/>
        <v>5.3825966989859753E-2</v>
      </c>
    </row>
    <row r="20" spans="2:15" ht="15" thickBot="1" x14ac:dyDescent="0.35">
      <c r="N20" s="37"/>
    </row>
    <row r="21" spans="2:15" ht="15" thickTop="1" x14ac:dyDescent="0.3"/>
  </sheetData>
  <mergeCells count="3">
    <mergeCell ref="B2:E2"/>
    <mergeCell ref="G2:J2"/>
    <mergeCell ref="L2:O2"/>
  </mergeCells>
  <pageMargins left="0.7" right="0.7" top="0.75" bottom="0.75" header="0.3" footer="0.3"/>
  <customProperties>
    <customPr name="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D5:E5"/>
  <sheetViews>
    <sheetView showGridLines="0" workbookViewId="0">
      <selection activeCell="K8" sqref="K8"/>
    </sheetView>
  </sheetViews>
  <sheetFormatPr defaultRowHeight="14.4" x14ac:dyDescent="0.3"/>
  <sheetData>
    <row r="5" spans="4:5" x14ac:dyDescent="0.3">
      <c r="D5" s="64" t="s">
        <v>144</v>
      </c>
      <c r="E5" s="6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11" activePane="bottomRight" state="frozen"/>
      <selection activeCell="C4" sqref="C4"/>
      <selection pane="topRight" activeCell="C4" sqref="C4"/>
      <selection pane="bottomLeft" activeCell="C4" sqref="C4"/>
      <selection pane="bottomRight" activeCell="H37" sqref="H37"/>
    </sheetView>
  </sheetViews>
  <sheetFormatPr defaultColWidth="10.44140625" defaultRowHeight="13.2" x14ac:dyDescent="0.25"/>
  <cols>
    <col min="1" max="1" width="26.6640625" style="2" bestFit="1" customWidth="1"/>
    <col min="2" max="11" width="11.44140625" style="2" bestFit="1" customWidth="1"/>
    <col min="12" max="16384" width="10.44140625" style="2"/>
  </cols>
  <sheetData>
    <row r="1" spans="1:11" s="1" customFormat="1" x14ac:dyDescent="0.25">
      <c r="A1" s="1" t="s">
        <v>0</v>
      </c>
      <c r="B1" s="1" t="s">
        <v>1</v>
      </c>
      <c r="E1" s="59" t="str">
        <f>IF(B2&lt;&gt;B3, "A NEW VERSION OF THE WORKSHEET IS AVAILABLE", "")</f>
        <v/>
      </c>
      <c r="F1" s="59"/>
      <c r="G1" s="59"/>
      <c r="H1" s="59"/>
      <c r="I1" s="59"/>
      <c r="J1" s="59"/>
      <c r="K1" s="59"/>
    </row>
    <row r="2" spans="1:11" x14ac:dyDescent="0.25">
      <c r="A2" s="1" t="s">
        <v>2</v>
      </c>
      <c r="B2" s="2">
        <v>2.1</v>
      </c>
      <c r="E2" s="60" t="s">
        <v>3</v>
      </c>
      <c r="F2" s="60"/>
      <c r="G2" s="60"/>
      <c r="H2" s="60"/>
      <c r="I2" s="60"/>
      <c r="J2" s="60"/>
      <c r="K2" s="60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361.80875080489375</v>
      </c>
    </row>
    <row r="7" spans="1:11" x14ac:dyDescent="0.25">
      <c r="A7" s="2" t="s">
        <v>7</v>
      </c>
      <c r="B7" s="3">
        <v>1</v>
      </c>
    </row>
    <row r="8" spans="1:11" x14ac:dyDescent="0.25">
      <c r="A8" s="2" t="s">
        <v>8</v>
      </c>
      <c r="B8" s="3">
        <v>3106</v>
      </c>
    </row>
    <row r="9" spans="1:11" x14ac:dyDescent="0.25">
      <c r="A9" s="2" t="s">
        <v>9</v>
      </c>
      <c r="B9" s="3">
        <v>1123777.98</v>
      </c>
    </row>
    <row r="15" spans="1:11" x14ac:dyDescent="0.25">
      <c r="A15" s="1" t="s">
        <v>10</v>
      </c>
      <c r="B15" s="2">
        <f>B26+B34</f>
        <v>35581</v>
      </c>
      <c r="K15" s="2">
        <f>K17-K18-K20-K21-K22-K23-K19</f>
        <v>77159</v>
      </c>
    </row>
    <row r="16" spans="1:11" s="6" customFormat="1" x14ac:dyDescent="0.25">
      <c r="A16" s="4" t="s">
        <v>11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x14ac:dyDescent="0.25">
      <c r="A17" s="2" t="s">
        <v>12</v>
      </c>
      <c r="B17" s="3">
        <v>108646</v>
      </c>
      <c r="C17" s="3">
        <v>117966</v>
      </c>
      <c r="D17" s="3">
        <v>123104</v>
      </c>
      <c r="E17" s="3">
        <v>146463</v>
      </c>
      <c r="F17" s="3">
        <v>156949</v>
      </c>
      <c r="G17" s="3">
        <v>164177</v>
      </c>
      <c r="H17" s="3">
        <v>191754</v>
      </c>
      <c r="I17" s="3">
        <v>225458</v>
      </c>
      <c r="J17" s="3">
        <v>240893</v>
      </c>
      <c r="K17" s="3">
        <v>255324</v>
      </c>
    </row>
    <row r="18" spans="1:11" ht="14.4" x14ac:dyDescent="0.3">
      <c r="A18" s="2" t="s">
        <v>13</v>
      </c>
      <c r="B18" s="7"/>
      <c r="C18" s="7">
        <v>94</v>
      </c>
      <c r="D18" s="7">
        <v>86</v>
      </c>
      <c r="E18" s="7">
        <v>40</v>
      </c>
      <c r="F18" s="7">
        <v>18</v>
      </c>
      <c r="G18" s="7">
        <v>14</v>
      </c>
      <c r="H18" s="7">
        <v>29</v>
      </c>
      <c r="I18" s="7">
        <v>37</v>
      </c>
      <c r="J18" s="7">
        <v>42</v>
      </c>
      <c r="K18" s="7">
        <v>49</v>
      </c>
    </row>
    <row r="19" spans="1:11" ht="14.4" x14ac:dyDescent="0.3">
      <c r="A19" s="2" t="s">
        <v>14</v>
      </c>
      <c r="B19" s="7"/>
      <c r="C19" s="7">
        <v>1</v>
      </c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2" t="s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2" t="s">
        <v>16</v>
      </c>
      <c r="B21" s="3">
        <v>2571</v>
      </c>
      <c r="C21" s="3">
        <v>2715</v>
      </c>
      <c r="D21" s="3">
        <v>2614</v>
      </c>
      <c r="E21" s="3">
        <v>2230</v>
      </c>
      <c r="F21" s="3">
        <v>1887</v>
      </c>
      <c r="G21" s="3">
        <v>1448</v>
      </c>
      <c r="H21" s="3">
        <v>1134</v>
      </c>
      <c r="I21" s="3">
        <v>1844</v>
      </c>
      <c r="J21" s="3">
        <v>3660</v>
      </c>
      <c r="K21" s="3">
        <v>11599</v>
      </c>
    </row>
    <row r="22" spans="1:11" x14ac:dyDescent="0.25">
      <c r="A22" s="2" t="s">
        <v>17</v>
      </c>
      <c r="B22" s="3">
        <v>55348</v>
      </c>
      <c r="C22" s="3">
        <v>61621</v>
      </c>
      <c r="D22" s="3">
        <v>66396</v>
      </c>
      <c r="E22" s="3">
        <v>78246</v>
      </c>
      <c r="F22" s="3">
        <v>85952</v>
      </c>
      <c r="G22" s="3">
        <v>91814</v>
      </c>
      <c r="H22" s="3">
        <v>107554</v>
      </c>
      <c r="I22" s="3">
        <v>127522</v>
      </c>
      <c r="J22" s="3">
        <v>140131</v>
      </c>
      <c r="K22" s="3">
        <v>145788</v>
      </c>
    </row>
    <row r="23" spans="1:11" x14ac:dyDescent="0.25">
      <c r="A23" s="2" t="s">
        <v>18</v>
      </c>
      <c r="B23" s="3">
        <v>15589</v>
      </c>
      <c r="C23" s="3">
        <v>16392</v>
      </c>
      <c r="D23" s="3">
        <v>16808</v>
      </c>
      <c r="E23" s="3">
        <v>20387</v>
      </c>
      <c r="F23" s="3">
        <v>20527</v>
      </c>
      <c r="G23" s="3">
        <v>18322</v>
      </c>
      <c r="H23" s="3">
        <v>23187</v>
      </c>
      <c r="I23" s="3">
        <v>28913</v>
      </c>
      <c r="J23" s="3">
        <v>24151</v>
      </c>
      <c r="K23" s="3">
        <v>20729</v>
      </c>
    </row>
    <row r="24" spans="1:11" x14ac:dyDescent="0.25">
      <c r="A24" s="2" t="s">
        <v>19</v>
      </c>
      <c r="B24" s="3">
        <v>4461</v>
      </c>
      <c r="C24" s="3">
        <v>4834</v>
      </c>
      <c r="D24" s="3">
        <v>4684</v>
      </c>
      <c r="E24" s="3">
        <v>6054</v>
      </c>
      <c r="F24" s="3">
        <v>6456</v>
      </c>
      <c r="G24" s="3">
        <v>6033</v>
      </c>
      <c r="H24" s="3">
        <v>6793</v>
      </c>
      <c r="I24" s="3">
        <v>7883</v>
      </c>
      <c r="J24" s="3">
        <v>8613</v>
      </c>
      <c r="K24" s="3">
        <v>9752</v>
      </c>
    </row>
    <row r="25" spans="1:11" x14ac:dyDescent="0.25">
      <c r="A25" s="2" t="s">
        <v>20</v>
      </c>
      <c r="B25" s="3">
        <v>3084</v>
      </c>
      <c r="C25" s="3">
        <v>4221</v>
      </c>
      <c r="D25" s="3">
        <v>3642</v>
      </c>
      <c r="E25" s="3">
        <v>4311</v>
      </c>
      <c r="F25" s="3">
        <v>4592</v>
      </c>
      <c r="G25" s="3">
        <v>1916</v>
      </c>
      <c r="H25" s="3">
        <v>4018</v>
      </c>
      <c r="I25" s="3">
        <v>3449</v>
      </c>
      <c r="J25" s="3">
        <v>3464</v>
      </c>
      <c r="K25" s="3">
        <v>3962</v>
      </c>
    </row>
    <row r="26" spans="1:11" x14ac:dyDescent="0.25">
      <c r="A26" s="2" t="s">
        <v>21</v>
      </c>
      <c r="B26" s="3">
        <v>1888</v>
      </c>
      <c r="C26" s="3">
        <v>1987</v>
      </c>
      <c r="D26" s="3">
        <v>2014</v>
      </c>
      <c r="E26" s="3">
        <v>2056</v>
      </c>
      <c r="F26" s="3">
        <v>3529</v>
      </c>
      <c r="G26" s="3">
        <v>4065</v>
      </c>
      <c r="H26" s="3">
        <v>4604</v>
      </c>
      <c r="I26" s="3">
        <v>5022</v>
      </c>
      <c r="J26" s="3">
        <v>4985</v>
      </c>
      <c r="K26" s="3">
        <v>5242</v>
      </c>
    </row>
    <row r="27" spans="1:11" ht="14.4" x14ac:dyDescent="0.3">
      <c r="A27" s="2" t="s">
        <v>22</v>
      </c>
      <c r="B27" s="3">
        <v>33</v>
      </c>
      <c r="C27" s="3">
        <v>32</v>
      </c>
      <c r="D27" s="3">
        <v>52</v>
      </c>
      <c r="E27" s="3">
        <v>198</v>
      </c>
      <c r="F27" s="3">
        <v>924</v>
      </c>
      <c r="G27" s="3">
        <v>637</v>
      </c>
      <c r="H27" s="3">
        <v>784</v>
      </c>
      <c r="I27" s="3">
        <v>779</v>
      </c>
      <c r="J27" s="7">
        <v>778</v>
      </c>
      <c r="K27" s="7">
        <v>796</v>
      </c>
    </row>
    <row r="28" spans="1:11" x14ac:dyDescent="0.25">
      <c r="A28" s="2" t="s">
        <v>23</v>
      </c>
      <c r="B28" s="3">
        <v>31840</v>
      </c>
      <c r="C28" s="3">
        <v>34513</v>
      </c>
      <c r="D28" s="3">
        <v>34092</v>
      </c>
      <c r="E28" s="3">
        <v>41563</v>
      </c>
      <c r="F28" s="3">
        <v>42248</v>
      </c>
      <c r="G28" s="3">
        <v>43760</v>
      </c>
      <c r="H28" s="3">
        <v>51687</v>
      </c>
      <c r="I28" s="3">
        <v>56907</v>
      </c>
      <c r="J28" s="3">
        <v>61997</v>
      </c>
      <c r="K28" s="3">
        <v>65331</v>
      </c>
    </row>
    <row r="29" spans="1:11" x14ac:dyDescent="0.25">
      <c r="A29" s="2" t="s">
        <v>24</v>
      </c>
      <c r="B29" s="3">
        <v>7502</v>
      </c>
      <c r="C29" s="3">
        <v>8156</v>
      </c>
      <c r="D29" s="3">
        <v>8212</v>
      </c>
      <c r="E29" s="3">
        <v>10001</v>
      </c>
      <c r="F29" s="3">
        <v>9801</v>
      </c>
      <c r="G29" s="3">
        <v>11198</v>
      </c>
      <c r="H29" s="3">
        <v>13238</v>
      </c>
      <c r="I29" s="3">
        <v>14604</v>
      </c>
      <c r="J29" s="3">
        <v>15898</v>
      </c>
      <c r="K29" s="3">
        <v>16534</v>
      </c>
    </row>
    <row r="30" spans="1:11" x14ac:dyDescent="0.25">
      <c r="A30" s="2" t="s">
        <v>25</v>
      </c>
      <c r="B30" s="3">
        <v>24270</v>
      </c>
      <c r="C30" s="3">
        <v>26289</v>
      </c>
      <c r="D30" s="3">
        <v>25826</v>
      </c>
      <c r="E30" s="3">
        <v>31472</v>
      </c>
      <c r="F30" s="3">
        <v>32340</v>
      </c>
      <c r="G30" s="3">
        <v>32430</v>
      </c>
      <c r="H30" s="3">
        <v>38327</v>
      </c>
      <c r="I30" s="3">
        <v>42147</v>
      </c>
      <c r="J30" s="3">
        <v>45908</v>
      </c>
      <c r="K30" s="3">
        <v>48553</v>
      </c>
    </row>
    <row r="31" spans="1:11" x14ac:dyDescent="0.25">
      <c r="A31" s="2" t="s">
        <v>26</v>
      </c>
      <c r="B31" s="3">
        <v>8569.5</v>
      </c>
      <c r="C31" s="3">
        <v>9259</v>
      </c>
      <c r="D31" s="3">
        <v>9550</v>
      </c>
      <c r="E31" s="3">
        <v>11250</v>
      </c>
      <c r="F31" s="3">
        <v>27375</v>
      </c>
      <c r="G31" s="3">
        <v>14060</v>
      </c>
      <c r="H31" s="3">
        <v>15738</v>
      </c>
      <c r="I31" s="3">
        <v>42090</v>
      </c>
      <c r="J31" s="3">
        <v>26426</v>
      </c>
      <c r="K31" s="3">
        <v>45612</v>
      </c>
    </row>
    <row r="32" spans="1:11" x14ac:dyDescent="0.25">
      <c r="A32" s="2" t="s">
        <v>27</v>
      </c>
      <c r="B32" s="8">
        <f>B29/B28</f>
        <v>0.23561557788944723</v>
      </c>
      <c r="C32" s="8">
        <f t="shared" ref="C32:K32" si="0">C29/C28</f>
        <v>0.23631675021006576</v>
      </c>
      <c r="D32" s="8">
        <f t="shared" si="0"/>
        <v>0.24087762524932535</v>
      </c>
      <c r="E32" s="8">
        <f t="shared" si="0"/>
        <v>0.24062266920097203</v>
      </c>
      <c r="F32" s="8">
        <f t="shared" si="0"/>
        <v>0.23198731300889983</v>
      </c>
      <c r="G32" s="8">
        <f t="shared" si="0"/>
        <v>0.25589579524680073</v>
      </c>
      <c r="H32" s="8">
        <f t="shared" si="0"/>
        <v>0.25611855979259773</v>
      </c>
      <c r="I32" s="8">
        <f t="shared" si="0"/>
        <v>0.25662923717644576</v>
      </c>
      <c r="J32" s="8">
        <f t="shared" si="0"/>
        <v>0.25643176282723357</v>
      </c>
      <c r="K32" s="8">
        <f t="shared" si="0"/>
        <v>0.25308046715954141</v>
      </c>
    </row>
    <row r="34" spans="1:11" x14ac:dyDescent="0.25">
      <c r="A34" s="2" t="s">
        <v>28</v>
      </c>
      <c r="B34" s="2">
        <f>+B30+B29+B27+B26</f>
        <v>33693</v>
      </c>
      <c r="C34" s="2">
        <f>+C30+C29+C27+C26</f>
        <v>36464</v>
      </c>
      <c r="D34" s="2">
        <f>+D30+D29+D27+D26</f>
        <v>36104</v>
      </c>
      <c r="E34" s="2">
        <f t="shared" ref="E34:K34" si="1">+E30+E29+E27+E26</f>
        <v>43727</v>
      </c>
      <c r="F34" s="2">
        <f t="shared" si="1"/>
        <v>46594</v>
      </c>
      <c r="G34" s="2">
        <f t="shared" si="1"/>
        <v>48330</v>
      </c>
      <c r="H34" s="2">
        <f t="shared" si="1"/>
        <v>56953</v>
      </c>
      <c r="I34" s="2">
        <f t="shared" si="1"/>
        <v>62552</v>
      </c>
      <c r="J34" s="2">
        <f t="shared" si="1"/>
        <v>67569</v>
      </c>
      <c r="K34" s="2">
        <f t="shared" si="1"/>
        <v>71125</v>
      </c>
    </row>
    <row r="40" spans="1:11" x14ac:dyDescent="0.25">
      <c r="A40" s="1" t="s">
        <v>29</v>
      </c>
    </row>
    <row r="41" spans="1:11" s="6" customFormat="1" x14ac:dyDescent="0.25">
      <c r="A41" s="4" t="s">
        <v>11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x14ac:dyDescent="0.25">
      <c r="A42" s="2" t="s">
        <v>12</v>
      </c>
      <c r="B42" s="3">
        <v>59381</v>
      </c>
      <c r="C42" s="3">
        <v>59692</v>
      </c>
      <c r="D42" s="3">
        <v>60583</v>
      </c>
      <c r="E42" s="3">
        <v>61237</v>
      </c>
      <c r="F42" s="3">
        <v>62613</v>
      </c>
      <c r="G42" s="3">
        <v>64259</v>
      </c>
      <c r="H42" s="3">
        <v>63973</v>
      </c>
      <c r="I42" s="3">
        <v>64479</v>
      </c>
      <c r="J42" s="3">
        <v>63437</v>
      </c>
      <c r="K42" s="3">
        <v>65799</v>
      </c>
    </row>
    <row r="43" spans="1:11" x14ac:dyDescent="0.25">
      <c r="A43" s="2" t="s">
        <v>30</v>
      </c>
      <c r="B43" s="3">
        <v>44383</v>
      </c>
      <c r="C43" s="3">
        <v>43946</v>
      </c>
      <c r="D43" s="3">
        <v>44195</v>
      </c>
      <c r="E43" s="3">
        <v>44073</v>
      </c>
      <c r="F43" s="3">
        <v>45951</v>
      </c>
      <c r="G43" s="3">
        <v>47528</v>
      </c>
      <c r="H43" s="3">
        <v>46939</v>
      </c>
      <c r="I43" s="3">
        <v>47499</v>
      </c>
      <c r="J43" s="3">
        <v>46562</v>
      </c>
      <c r="K43" s="3">
        <v>47821</v>
      </c>
    </row>
    <row r="44" spans="1:11" x14ac:dyDescent="0.25">
      <c r="A44" s="2" t="s">
        <v>20</v>
      </c>
      <c r="B44" s="3">
        <v>1397</v>
      </c>
      <c r="C44" s="3">
        <v>1006</v>
      </c>
      <c r="D44" s="3">
        <v>-96</v>
      </c>
      <c r="E44" s="3">
        <v>1157</v>
      </c>
      <c r="F44" s="3">
        <v>962</v>
      </c>
      <c r="G44" s="3">
        <v>729</v>
      </c>
      <c r="H44" s="3">
        <v>1243</v>
      </c>
      <c r="I44" s="3">
        <v>1028</v>
      </c>
      <c r="J44" s="3">
        <v>1660</v>
      </c>
      <c r="K44" s="3">
        <v>-268</v>
      </c>
    </row>
    <row r="45" spans="1:11" x14ac:dyDescent="0.25">
      <c r="A45" s="2" t="s">
        <v>21</v>
      </c>
      <c r="B45" s="3">
        <v>1243</v>
      </c>
      <c r="C45" s="3">
        <v>1263</v>
      </c>
      <c r="D45" s="3">
        <v>1233</v>
      </c>
      <c r="E45" s="3">
        <v>1246</v>
      </c>
      <c r="F45" s="3">
        <v>1220</v>
      </c>
      <c r="G45" s="3">
        <v>1266</v>
      </c>
      <c r="H45" s="3">
        <v>1377</v>
      </c>
      <c r="I45" s="3">
        <v>1379</v>
      </c>
      <c r="J45" s="3">
        <v>1361</v>
      </c>
      <c r="K45" s="3">
        <v>1413</v>
      </c>
    </row>
    <row r="46" spans="1:11" ht="14.4" x14ac:dyDescent="0.3">
      <c r="A46" s="2" t="s">
        <v>22</v>
      </c>
      <c r="B46" s="7">
        <v>163</v>
      </c>
      <c r="C46" s="7">
        <v>159</v>
      </c>
      <c r="D46" s="7">
        <v>230</v>
      </c>
      <c r="E46" s="7">
        <v>226</v>
      </c>
      <c r="F46" s="7">
        <v>173</v>
      </c>
      <c r="G46" s="7">
        <v>162</v>
      </c>
      <c r="H46" s="7">
        <v>234</v>
      </c>
      <c r="I46" s="7">
        <v>227</v>
      </c>
      <c r="J46" s="7">
        <v>195</v>
      </c>
      <c r="K46" s="7">
        <v>229</v>
      </c>
    </row>
    <row r="47" spans="1:11" x14ac:dyDescent="0.25">
      <c r="A47" s="2" t="s">
        <v>23</v>
      </c>
      <c r="B47" s="3">
        <v>14989</v>
      </c>
      <c r="C47" s="3">
        <v>15330</v>
      </c>
      <c r="D47" s="3">
        <v>14829</v>
      </c>
      <c r="E47" s="3">
        <v>16849</v>
      </c>
      <c r="F47" s="3">
        <v>16231</v>
      </c>
      <c r="G47" s="3">
        <v>16032</v>
      </c>
      <c r="H47" s="3">
        <v>16666</v>
      </c>
      <c r="I47" s="3">
        <v>16402</v>
      </c>
      <c r="J47" s="3">
        <v>16979</v>
      </c>
      <c r="K47" s="3">
        <v>16068</v>
      </c>
    </row>
    <row r="48" spans="1:11" x14ac:dyDescent="0.25">
      <c r="A48" s="2" t="s">
        <v>24</v>
      </c>
      <c r="B48" s="3">
        <v>3869</v>
      </c>
      <c r="C48" s="3">
        <v>3950</v>
      </c>
      <c r="D48" s="3">
        <v>3732</v>
      </c>
      <c r="E48" s="3">
        <v>4347</v>
      </c>
      <c r="F48" s="3">
        <v>4126</v>
      </c>
      <c r="G48" s="3">
        <v>4077</v>
      </c>
      <c r="H48" s="3">
        <v>4222</v>
      </c>
      <c r="I48" s="3">
        <v>4109</v>
      </c>
      <c r="J48" s="3">
        <v>4160</v>
      </c>
      <c r="K48" s="3">
        <v>3937</v>
      </c>
    </row>
    <row r="49" spans="1:11" x14ac:dyDescent="0.25">
      <c r="A49" s="2" t="s">
        <v>25</v>
      </c>
      <c r="B49" s="3">
        <v>11074</v>
      </c>
      <c r="C49" s="3">
        <v>11342</v>
      </c>
      <c r="D49" s="3">
        <v>11058</v>
      </c>
      <c r="E49" s="3">
        <v>12434</v>
      </c>
      <c r="F49" s="3">
        <v>12040</v>
      </c>
      <c r="G49" s="3">
        <v>11909</v>
      </c>
      <c r="H49" s="3">
        <v>12380</v>
      </c>
      <c r="I49" s="3">
        <v>12224</v>
      </c>
      <c r="J49" s="3">
        <v>12760</v>
      </c>
      <c r="K49" s="3">
        <v>12075</v>
      </c>
    </row>
    <row r="50" spans="1:11" x14ac:dyDescent="0.25">
      <c r="A50" s="2" t="s">
        <v>31</v>
      </c>
      <c r="B50" s="3">
        <v>14998</v>
      </c>
      <c r="C50" s="3">
        <v>15746</v>
      </c>
      <c r="D50" s="3">
        <v>16388</v>
      </c>
      <c r="E50" s="3">
        <v>17164</v>
      </c>
      <c r="F50" s="3">
        <v>16662</v>
      </c>
      <c r="G50" s="3">
        <v>16731</v>
      </c>
      <c r="H50" s="3">
        <v>17034</v>
      </c>
      <c r="I50" s="3">
        <v>16980</v>
      </c>
      <c r="J50" s="3">
        <v>16875</v>
      </c>
      <c r="K50" s="3">
        <v>17978</v>
      </c>
    </row>
    <row r="51" spans="1:11" x14ac:dyDescent="0.25">
      <c r="A51" s="2" t="s">
        <v>28</v>
      </c>
      <c r="B51" s="2">
        <f>B49+B48+B46+B45</f>
        <v>16349</v>
      </c>
      <c r="C51" s="2">
        <f t="shared" ref="C51:K51" si="2">C49+C48+C46+C45</f>
        <v>16714</v>
      </c>
      <c r="D51" s="2">
        <f t="shared" si="2"/>
        <v>16253</v>
      </c>
      <c r="E51" s="2">
        <f t="shared" si="2"/>
        <v>18253</v>
      </c>
      <c r="F51" s="2">
        <f t="shared" si="2"/>
        <v>17559</v>
      </c>
      <c r="G51" s="2">
        <f t="shared" si="2"/>
        <v>17414</v>
      </c>
      <c r="H51" s="2">
        <f t="shared" si="2"/>
        <v>18213</v>
      </c>
      <c r="I51" s="2">
        <f t="shared" si="2"/>
        <v>17939</v>
      </c>
      <c r="J51" s="2">
        <f t="shared" si="2"/>
        <v>18476</v>
      </c>
      <c r="K51" s="2">
        <f t="shared" si="2"/>
        <v>17654</v>
      </c>
    </row>
    <row r="55" spans="1:11" x14ac:dyDescent="0.25">
      <c r="A55" s="1" t="s">
        <v>32</v>
      </c>
    </row>
    <row r="56" spans="1:11" s="6" customFormat="1" x14ac:dyDescent="0.25">
      <c r="A56" s="4" t="s">
        <v>11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25">
      <c r="A57" s="2" t="s">
        <v>33</v>
      </c>
      <c r="B57" s="3">
        <v>197</v>
      </c>
      <c r="C57" s="3">
        <v>197</v>
      </c>
      <c r="D57" s="3">
        <v>191</v>
      </c>
      <c r="E57" s="3">
        <v>375</v>
      </c>
      <c r="F57" s="3">
        <v>375</v>
      </c>
      <c r="G57" s="3">
        <v>370</v>
      </c>
      <c r="H57" s="3">
        <v>366</v>
      </c>
      <c r="I57" s="3">
        <v>366</v>
      </c>
      <c r="J57" s="3">
        <v>362</v>
      </c>
      <c r="K57" s="3">
        <v>362</v>
      </c>
    </row>
    <row r="58" spans="1:11" x14ac:dyDescent="0.25">
      <c r="A58" s="2" t="s">
        <v>34</v>
      </c>
      <c r="B58" s="3">
        <v>70875</v>
      </c>
      <c r="C58" s="3">
        <v>86017</v>
      </c>
      <c r="D58" s="3">
        <v>84937</v>
      </c>
      <c r="E58" s="3">
        <v>89071</v>
      </c>
      <c r="F58" s="3">
        <v>83751</v>
      </c>
      <c r="G58" s="3">
        <v>86063</v>
      </c>
      <c r="H58" s="3">
        <v>88773</v>
      </c>
      <c r="I58" s="3">
        <v>90058</v>
      </c>
      <c r="J58" s="3">
        <v>90127</v>
      </c>
      <c r="K58" s="3">
        <v>94394</v>
      </c>
    </row>
    <row r="59" spans="1:11" ht="14.4" x14ac:dyDescent="0.3">
      <c r="A59" s="2" t="s">
        <v>35</v>
      </c>
      <c r="B59" s="7">
        <v>245</v>
      </c>
      <c r="C59" s="7">
        <v>289</v>
      </c>
      <c r="D59" s="7">
        <v>247</v>
      </c>
      <c r="E59" s="7">
        <v>62</v>
      </c>
      <c r="F59" s="7">
        <v>8174</v>
      </c>
      <c r="G59" s="7">
        <v>7795</v>
      </c>
      <c r="H59" s="7">
        <v>7818</v>
      </c>
      <c r="I59" s="7">
        <v>7688</v>
      </c>
      <c r="J59" s="7">
        <v>8021</v>
      </c>
      <c r="K59" s="7">
        <v>9392</v>
      </c>
    </row>
    <row r="60" spans="1:11" x14ac:dyDescent="0.25">
      <c r="A60" s="2" t="s">
        <v>36</v>
      </c>
      <c r="B60" s="3">
        <v>16974</v>
      </c>
      <c r="C60" s="3">
        <v>15830</v>
      </c>
      <c r="D60" s="3">
        <v>19751</v>
      </c>
      <c r="E60" s="3">
        <v>24393</v>
      </c>
      <c r="F60" s="3">
        <v>27827</v>
      </c>
      <c r="G60" s="3">
        <v>35764</v>
      </c>
      <c r="H60" s="3">
        <v>43967</v>
      </c>
      <c r="I60" s="3">
        <v>44747</v>
      </c>
      <c r="J60" s="3">
        <v>46962</v>
      </c>
      <c r="K60" s="3">
        <v>54501</v>
      </c>
    </row>
    <row r="61" spans="1:11" s="1" customFormat="1" x14ac:dyDescent="0.25">
      <c r="A61" s="1" t="s">
        <v>37</v>
      </c>
      <c r="B61" s="3">
        <v>88291</v>
      </c>
      <c r="C61" s="3">
        <v>102333</v>
      </c>
      <c r="D61" s="3">
        <v>105126</v>
      </c>
      <c r="E61" s="3">
        <v>113901</v>
      </c>
      <c r="F61" s="3">
        <v>120127</v>
      </c>
      <c r="G61" s="3">
        <v>129992</v>
      </c>
      <c r="H61" s="3">
        <v>140924</v>
      </c>
      <c r="I61" s="3">
        <v>142859</v>
      </c>
      <c r="J61" s="3">
        <v>145472</v>
      </c>
      <c r="K61" s="3">
        <v>158649</v>
      </c>
    </row>
    <row r="62" spans="1:11" x14ac:dyDescent="0.25">
      <c r="A62" s="2" t="s">
        <v>38</v>
      </c>
      <c r="B62" s="3">
        <v>11774</v>
      </c>
      <c r="C62" s="3">
        <v>11701</v>
      </c>
      <c r="D62" s="3">
        <v>11973</v>
      </c>
      <c r="E62" s="3">
        <v>12290</v>
      </c>
      <c r="F62" s="3">
        <v>20928</v>
      </c>
      <c r="G62" s="3">
        <v>21021</v>
      </c>
      <c r="H62" s="3">
        <v>21298</v>
      </c>
      <c r="I62" s="3">
        <v>20515</v>
      </c>
      <c r="J62" s="3">
        <v>19604</v>
      </c>
      <c r="K62" s="3">
        <v>23053</v>
      </c>
    </row>
    <row r="63" spans="1:11" x14ac:dyDescent="0.25">
      <c r="A63" s="2" t="s">
        <v>39</v>
      </c>
      <c r="B63" s="3">
        <v>1670</v>
      </c>
      <c r="C63" s="3">
        <v>1541</v>
      </c>
      <c r="D63" s="3">
        <v>1278</v>
      </c>
      <c r="E63" s="3">
        <v>963</v>
      </c>
      <c r="F63" s="3">
        <v>906</v>
      </c>
      <c r="G63" s="3">
        <v>926</v>
      </c>
      <c r="H63" s="3">
        <v>1205</v>
      </c>
      <c r="I63" s="3">
        <v>1234</v>
      </c>
      <c r="J63" s="3">
        <v>1564</v>
      </c>
      <c r="K63" s="3">
        <v>1546</v>
      </c>
    </row>
    <row r="64" spans="1:11" ht="14.4" x14ac:dyDescent="0.3">
      <c r="A64" s="2" t="s">
        <v>40</v>
      </c>
      <c r="B64" s="3">
        <v>22822</v>
      </c>
      <c r="C64" s="7">
        <v>41980</v>
      </c>
      <c r="D64" s="3">
        <v>36008</v>
      </c>
      <c r="E64" s="3">
        <v>29330</v>
      </c>
      <c r="F64" s="3">
        <v>26356</v>
      </c>
      <c r="G64" s="3">
        <v>29373</v>
      </c>
      <c r="H64" s="3">
        <v>30485</v>
      </c>
      <c r="I64" s="3">
        <v>37163</v>
      </c>
      <c r="J64" s="3">
        <v>31762</v>
      </c>
      <c r="K64" s="3">
        <v>30964</v>
      </c>
    </row>
    <row r="65" spans="1:11" x14ac:dyDescent="0.25">
      <c r="A65" s="2" t="s">
        <v>41</v>
      </c>
      <c r="B65" s="3">
        <v>52025</v>
      </c>
      <c r="C65" s="3">
        <v>47111</v>
      </c>
      <c r="D65" s="3">
        <v>55867</v>
      </c>
      <c r="E65" s="3">
        <v>71318</v>
      </c>
      <c r="F65" s="3">
        <v>71937</v>
      </c>
      <c r="G65" s="3">
        <v>78672</v>
      </c>
      <c r="H65" s="3">
        <v>87936</v>
      </c>
      <c r="I65" s="3">
        <v>83947</v>
      </c>
      <c r="J65" s="3">
        <v>92542</v>
      </c>
      <c r="K65" s="3">
        <v>103086</v>
      </c>
    </row>
    <row r="66" spans="1:11" s="1" customFormat="1" x14ac:dyDescent="0.25">
      <c r="A66" s="1" t="s">
        <v>37</v>
      </c>
      <c r="B66" s="3">
        <v>88291</v>
      </c>
      <c r="C66" s="3">
        <v>102333</v>
      </c>
      <c r="D66" s="3">
        <v>105126</v>
      </c>
      <c r="E66" s="3">
        <v>113901</v>
      </c>
      <c r="F66" s="3">
        <v>120127</v>
      </c>
      <c r="G66" s="3">
        <v>129992</v>
      </c>
      <c r="H66" s="3">
        <v>140924</v>
      </c>
      <c r="I66" s="3">
        <v>142859</v>
      </c>
      <c r="J66" s="3">
        <v>145472</v>
      </c>
      <c r="K66" s="3">
        <v>158649</v>
      </c>
    </row>
    <row r="67" spans="1:11" x14ac:dyDescent="0.25">
      <c r="A67" s="2" t="s">
        <v>42</v>
      </c>
      <c r="B67" s="3">
        <v>24073</v>
      </c>
      <c r="C67" s="3">
        <v>22617</v>
      </c>
      <c r="D67" s="3">
        <v>24943</v>
      </c>
      <c r="E67" s="3">
        <v>27346</v>
      </c>
      <c r="F67" s="3">
        <v>30532</v>
      </c>
      <c r="G67" s="3">
        <v>30079</v>
      </c>
      <c r="H67" s="3">
        <v>41810</v>
      </c>
      <c r="I67" s="3">
        <v>49954</v>
      </c>
      <c r="J67" s="3">
        <v>53577</v>
      </c>
      <c r="K67" s="3">
        <v>59046</v>
      </c>
    </row>
    <row r="68" spans="1:11" ht="14.4" x14ac:dyDescent="0.3">
      <c r="A68" s="2" t="s">
        <v>43</v>
      </c>
      <c r="B68" s="7">
        <v>16</v>
      </c>
      <c r="C68" s="7">
        <v>21</v>
      </c>
      <c r="D68" s="7">
        <v>26</v>
      </c>
      <c r="E68" s="7">
        <v>10</v>
      </c>
      <c r="F68" s="7">
        <v>5</v>
      </c>
      <c r="G68" s="7">
        <v>8</v>
      </c>
      <c r="H68" s="7">
        <v>20</v>
      </c>
      <c r="I68" s="7">
        <v>28</v>
      </c>
      <c r="J68" s="7">
        <v>28</v>
      </c>
      <c r="K68" s="7">
        <v>21</v>
      </c>
    </row>
    <row r="69" spans="1:11" x14ac:dyDescent="0.25">
      <c r="A69" s="2" t="s">
        <v>44</v>
      </c>
      <c r="B69" s="3">
        <v>6788</v>
      </c>
      <c r="C69" s="3">
        <v>4149</v>
      </c>
      <c r="D69" s="3">
        <v>7161</v>
      </c>
      <c r="E69" s="3">
        <v>12848</v>
      </c>
      <c r="F69" s="3">
        <v>9666</v>
      </c>
      <c r="G69" s="3">
        <v>9329</v>
      </c>
      <c r="H69" s="3">
        <v>18221</v>
      </c>
      <c r="I69" s="3">
        <v>11032</v>
      </c>
      <c r="J69" s="3">
        <v>13286</v>
      </c>
      <c r="K69" s="3">
        <v>15463</v>
      </c>
    </row>
    <row r="70" spans="1:11" x14ac:dyDescent="0.25">
      <c r="A70" s="2" t="s">
        <v>45</v>
      </c>
      <c r="B70" s="3">
        <v>1970427941</v>
      </c>
      <c r="C70" s="3">
        <v>1970427941</v>
      </c>
      <c r="D70" s="3">
        <v>1914287591</v>
      </c>
      <c r="E70" s="3">
        <v>3752384706</v>
      </c>
      <c r="F70" s="3">
        <v>3752384706</v>
      </c>
      <c r="G70" s="3">
        <v>3699051373</v>
      </c>
      <c r="H70" s="3">
        <v>3659051373</v>
      </c>
      <c r="I70" s="3">
        <v>3659051373</v>
      </c>
      <c r="J70" s="3">
        <v>3618087518</v>
      </c>
      <c r="K70" s="3">
        <v>3618087518</v>
      </c>
    </row>
    <row r="71" spans="1:11" ht="13.8" x14ac:dyDescent="0.25">
      <c r="A71" s="2" t="s">
        <v>46</v>
      </c>
      <c r="B71" s="9"/>
      <c r="C71" s="9"/>
      <c r="G71" s="9"/>
      <c r="H71" s="9"/>
    </row>
    <row r="72" spans="1:11" x14ac:dyDescent="0.25">
      <c r="A72" s="2" t="s">
        <v>47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3" spans="1:11" x14ac:dyDescent="0.25">
      <c r="H73" s="2">
        <f>H62-G62+H45</f>
        <v>1654</v>
      </c>
      <c r="I73" s="2">
        <f t="shared" ref="I73:K73" si="3">I62-H62+I45</f>
        <v>596</v>
      </c>
      <c r="J73" s="2">
        <f t="shared" si="3"/>
        <v>450</v>
      </c>
      <c r="K73" s="2">
        <f t="shared" si="3"/>
        <v>4862</v>
      </c>
    </row>
    <row r="80" spans="1:11" x14ac:dyDescent="0.25">
      <c r="A80" s="1" t="s">
        <v>48</v>
      </c>
    </row>
    <row r="81" spans="1:12" s="6" customFormat="1" x14ac:dyDescent="0.25">
      <c r="A81" s="4" t="s">
        <v>11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  <c r="L81" s="5"/>
    </row>
    <row r="82" spans="1:12" s="1" customFormat="1" x14ac:dyDescent="0.25">
      <c r="A82" s="2" t="s">
        <v>49</v>
      </c>
      <c r="B82" s="3">
        <v>19109</v>
      </c>
      <c r="C82" s="3">
        <v>25223</v>
      </c>
      <c r="D82" s="3">
        <v>25067</v>
      </c>
      <c r="E82" s="3">
        <v>28593</v>
      </c>
      <c r="F82" s="3">
        <v>32369</v>
      </c>
      <c r="G82" s="3">
        <v>38802</v>
      </c>
      <c r="H82" s="3">
        <v>39949</v>
      </c>
      <c r="I82" s="3">
        <v>41965</v>
      </c>
      <c r="J82" s="3">
        <v>44338</v>
      </c>
      <c r="K82" s="3">
        <v>48908</v>
      </c>
    </row>
    <row r="83" spans="1:12" x14ac:dyDescent="0.25">
      <c r="A83" s="2" t="s">
        <v>50</v>
      </c>
      <c r="B83" s="3">
        <v>-5010</v>
      </c>
      <c r="C83" s="3">
        <v>-16895</v>
      </c>
      <c r="D83" s="3">
        <v>3104</v>
      </c>
      <c r="E83" s="3">
        <v>1645</v>
      </c>
      <c r="F83" s="3">
        <v>8968</v>
      </c>
      <c r="G83" s="3">
        <v>-7956</v>
      </c>
      <c r="H83" s="3">
        <v>-738</v>
      </c>
      <c r="I83" s="3">
        <v>548</v>
      </c>
      <c r="J83" s="3">
        <v>6091</v>
      </c>
      <c r="K83" s="3">
        <v>-2144</v>
      </c>
    </row>
    <row r="84" spans="1:12" x14ac:dyDescent="0.25">
      <c r="A84" s="2" t="s">
        <v>51</v>
      </c>
      <c r="B84" s="3">
        <v>-9666</v>
      </c>
      <c r="C84" s="3">
        <v>-11026</v>
      </c>
      <c r="D84" s="3">
        <v>-26885</v>
      </c>
      <c r="E84" s="3">
        <v>-27897</v>
      </c>
      <c r="F84" s="3">
        <v>-39915</v>
      </c>
      <c r="G84" s="3">
        <v>-32634</v>
      </c>
      <c r="H84" s="3">
        <v>-33581</v>
      </c>
      <c r="I84" s="3">
        <v>-47878</v>
      </c>
      <c r="J84" s="3">
        <v>-48536</v>
      </c>
      <c r="K84" s="3">
        <v>-47438</v>
      </c>
    </row>
    <row r="85" spans="1:12" s="1" customFormat="1" x14ac:dyDescent="0.25">
      <c r="A85" s="2" t="s">
        <v>52</v>
      </c>
      <c r="B85" s="3">
        <v>4433</v>
      </c>
      <c r="C85" s="3">
        <v>-2698</v>
      </c>
      <c r="D85" s="3">
        <v>1286</v>
      </c>
      <c r="E85" s="3">
        <v>2341</v>
      </c>
      <c r="F85" s="3">
        <v>1422</v>
      </c>
      <c r="G85" s="3">
        <v>-1788</v>
      </c>
      <c r="H85" s="3">
        <v>5630</v>
      </c>
      <c r="I85" s="3">
        <v>-5365</v>
      </c>
      <c r="J85" s="3">
        <v>1893</v>
      </c>
      <c r="K85" s="3">
        <v>-674</v>
      </c>
    </row>
    <row r="90" spans="1:12" s="1" customFormat="1" x14ac:dyDescent="0.25">
      <c r="A90" s="1" t="s">
        <v>53</v>
      </c>
      <c r="B90" s="3">
        <v>1260.1500000000001</v>
      </c>
      <c r="C90" s="3">
        <v>1215.9000000000001</v>
      </c>
      <c r="D90" s="3">
        <v>1424.58</v>
      </c>
      <c r="E90" s="3">
        <v>2001.65</v>
      </c>
      <c r="F90" s="3">
        <v>1826.1</v>
      </c>
      <c r="G90" s="3">
        <v>3177.85</v>
      </c>
      <c r="H90" s="3">
        <v>3739.95</v>
      </c>
      <c r="I90" s="3">
        <v>3205.9</v>
      </c>
      <c r="J90" s="3">
        <v>3876.3</v>
      </c>
      <c r="K90" s="3">
        <v>3606.15</v>
      </c>
    </row>
    <row r="92" spans="1:12" s="1" customFormat="1" x14ac:dyDescent="0.25">
      <c r="A92" s="1" t="s">
        <v>54</v>
      </c>
    </row>
    <row r="93" spans="1:12" x14ac:dyDescent="0.25">
      <c r="A93" s="2" t="s">
        <v>55</v>
      </c>
      <c r="B93" s="10">
        <v>394.09</v>
      </c>
      <c r="C93" s="10">
        <v>394.09</v>
      </c>
      <c r="D93" s="10">
        <v>382.86</v>
      </c>
      <c r="E93" s="10">
        <v>375.24</v>
      </c>
      <c r="F93" s="10">
        <v>375.24</v>
      </c>
      <c r="G93" s="10">
        <v>369.91</v>
      </c>
      <c r="H93" s="10">
        <v>365.91</v>
      </c>
      <c r="I93" s="10">
        <v>365.91</v>
      </c>
      <c r="J93" s="10">
        <v>361.81</v>
      </c>
      <c r="K93" s="10">
        <v>361.81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9E03-A4D1-4083-BC79-5563763A6FED}">
  <dimension ref="B2:M3"/>
  <sheetViews>
    <sheetView showGridLines="0" workbookViewId="0">
      <selection activeCell="B5" sqref="B5"/>
    </sheetView>
  </sheetViews>
  <sheetFormatPr defaultRowHeight="14.4" x14ac:dyDescent="0.3"/>
  <cols>
    <col min="1" max="1" width="1.88671875" customWidth="1"/>
  </cols>
  <sheetData>
    <row r="2" spans="2:13" x14ac:dyDescent="0.3">
      <c r="B2" s="56" t="str">
        <f>"Peer Analysis - "&amp;'Data Sheet'!B1</f>
        <v>Peer Analysis - TATA CONSULTANCY SERVICES LTD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2:13" x14ac:dyDescent="0.3">
      <c r="B3" s="11" t="s">
        <v>120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D386-EC97-4C23-82D5-7A0EE73B14DA}">
  <dimension ref="B3:C3"/>
  <sheetViews>
    <sheetView showGridLines="0" workbookViewId="0">
      <selection activeCell="B5" sqref="B5"/>
    </sheetView>
  </sheetViews>
  <sheetFormatPr defaultRowHeight="14.4" x14ac:dyDescent="0.3"/>
  <cols>
    <col min="1" max="1" width="3.5546875" customWidth="1"/>
  </cols>
  <sheetData>
    <row r="3" spans="2:3" x14ac:dyDescent="0.3">
      <c r="B3" s="64" t="s">
        <v>143</v>
      </c>
      <c r="C3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HistoricalFS</vt:lpstr>
      <vt:lpstr>ratio</vt:lpstr>
      <vt:lpstr>scenario analysis</vt:lpstr>
      <vt:lpstr>Financials </vt:lpstr>
      <vt:lpstr>Ratio Analysis</vt:lpstr>
      <vt:lpstr>Forecasting</vt:lpstr>
      <vt:lpstr>Data&gt;</vt:lpstr>
      <vt:lpstr>Data Sheet</vt:lpstr>
      <vt:lpstr>Peer Analysis</vt:lpstr>
      <vt:lpstr>Charts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veeresh vishwakarm</cp:lastModifiedBy>
  <dcterms:created xsi:type="dcterms:W3CDTF">2023-01-14T08:22:33Z</dcterms:created>
  <dcterms:modified xsi:type="dcterms:W3CDTF">2025-11-16T19:34:51Z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